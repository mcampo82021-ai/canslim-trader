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Seguimiento" sheetId="1" state="visible" r:id="rId1"/>
    <sheet xmlns:r="http://schemas.openxmlformats.org/officeDocument/2006/relationships" name="📋 Metodología CAN SLIM" sheetId="2" state="visible" r:id="rId2"/>
    <sheet xmlns:r="http://schemas.openxmlformats.org/officeDocument/2006/relationships" name="📈 Historial Opera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&quot; /4&quot;"/>
    <numFmt numFmtId="168" formatCode="0.0&quot;x&quot;"/>
    <numFmt numFmtId="169" formatCode="$#,##0.00;($#,##0.00);-"/>
    <numFmt numFmtId="170" formatCode="0.0%;(0.0%);-"/>
  </numFmts>
  <fonts count="34">
    <font>
      <name val="Calibri"/>
      <color theme="1"/>
      <sz val="11"/>
      <scheme val="minor"/>
    </font>
    <font>
      <name val="Arial"/>
      <b val="1"/>
      <color rgb="FF00D4FF"/>
      <sz val="18"/>
    </font>
    <font/>
    <font>
      <name val="Arial"/>
      <i val="1"/>
      <color rgb="FF64748B"/>
      <sz val="9"/>
    </font>
    <font>
      <name val="Calibri"/>
      <color theme="1"/>
      <sz val="11"/>
    </font>
    <font>
      <name val="Arial"/>
      <b val="1"/>
      <color rgb="FFFFFFFF"/>
      <sz val="8"/>
    </font>
    <font>
      <name val="Arial"/>
      <b val="1"/>
      <color rgb="FFF8FAFC"/>
      <sz val="8"/>
    </font>
    <font>
      <name val="Arial"/>
      <color rgb="FF64748B"/>
      <sz val="9"/>
    </font>
    <font>
      <name val="Arial"/>
      <b val="1"/>
      <color rgb="FF0077CC"/>
      <sz val="10"/>
    </font>
    <font>
      <name val="Arial"/>
      <color rgb="FF000000"/>
      <sz val="9"/>
    </font>
    <font>
      <name val="Arial"/>
      <b val="1"/>
      <color rgb="FF0000FF"/>
      <sz val="10"/>
    </font>
    <font>
      <name val="Arial"/>
      <color rgb="FF0000FF"/>
      <sz val="9"/>
    </font>
    <font>
      <name val="Arial"/>
      <b val="1"/>
      <color rgb="FF000000"/>
      <sz val="9"/>
    </font>
    <font>
      <name val="Arial"/>
      <b val="1"/>
      <color rgb="FF0000FF"/>
      <sz val="9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b val="1"/>
      <color theme="1"/>
      <sz val="9"/>
    </font>
    <font>
      <name val="Arial"/>
      <color rgb="FF5C4000"/>
      <sz val="9"/>
    </font>
    <font>
      <name val="Arial"/>
      <i val="1"/>
      <color rgb="FF64748B"/>
      <sz val="8"/>
    </font>
    <font>
      <name val="Arial"/>
      <b val="1"/>
      <color rgb="FF00D4FF"/>
      <sz val="16"/>
    </font>
    <font>
      <name val="Arial"/>
      <b val="1"/>
      <color rgb="FFFFFFFF"/>
      <sz val="9"/>
    </font>
    <font>
      <name val="Arial"/>
      <b val="1"/>
      <color rgb="FF0000AA"/>
      <sz val="9"/>
    </font>
    <font>
      <name val="Arial"/>
      <color rgb="FF990000"/>
      <sz val="9"/>
    </font>
    <font>
      <name val="Arial"/>
      <b val="1"/>
      <color rgb="FFFFFFFF"/>
      <sz val="11"/>
    </font>
    <font>
      <name val="Arial"/>
      <b val="1"/>
      <color rgb="FF003366"/>
      <sz val="9"/>
    </font>
    <font>
      <name val="Arial"/>
      <b val="1"/>
      <color rgb="FF00D4FF"/>
      <sz val="15"/>
    </font>
    <font>
      <name val="Arial"/>
      <b val="1"/>
      <color rgb="FF0077CC"/>
      <sz val="9"/>
    </font>
    <font>
      <name val="Arial"/>
      <b val="1"/>
      <color rgb="FFFFFFFF"/>
      <sz val="10"/>
    </font>
    <font>
      <name val="Arial"/>
      <b val="1"/>
      <color rgb="FF00D4FF"/>
      <sz val="11"/>
    </font>
    <font>
      <name val="Arial"/>
      <sz val="9"/>
    </font>
    <font>
      <name val="Arial"/>
      <b val="1"/>
      <sz val="9"/>
    </font>
    <font>
      <name val="Arial"/>
      <i val="1"/>
      <color rgb="00444444"/>
      <sz val="9"/>
    </font>
    <font>
      <b val="1"/>
      <color rgb="00000000"/>
    </font>
    <font>
      <b val="1"/>
    </font>
  </fonts>
  <fills count="33">
    <fill>
      <patternFill/>
    </fill>
    <fill>
      <patternFill patternType="lightGray"/>
    </fill>
    <fill>
      <patternFill patternType="solid">
        <fgColor rgb="FF0D1117"/>
        <bgColor rgb="FF0D1117"/>
      </patternFill>
    </fill>
    <fill>
      <patternFill patternType="solid">
        <fgColor rgb="FF00D4FF"/>
        <bgColor rgb="FF00D4FF"/>
      </patternFill>
    </fill>
    <fill>
      <patternFill patternType="solid">
        <fgColor rgb="FF1E3A5F"/>
        <bgColor rgb="FF1E3A5F"/>
      </patternFill>
    </fill>
    <fill>
      <patternFill patternType="solid">
        <fgColor rgb="FF1E3A2F"/>
        <bgColor rgb="FF1E3A2F"/>
      </patternFill>
    </fill>
    <fill>
      <patternFill patternType="solid">
        <fgColor rgb="FF3A2F1E"/>
        <bgColor rgb="FF3A2F1E"/>
      </patternFill>
    </fill>
    <fill>
      <patternFill patternType="solid">
        <fgColor rgb="FF2F1E3A"/>
        <bgColor rgb="FF2F1E3A"/>
      </patternFill>
    </fill>
    <fill>
      <patternFill patternType="solid">
        <fgColor rgb="FF1E2F3A"/>
        <bgColor rgb="FF1E2F3A"/>
      </patternFill>
    </fill>
    <fill>
      <patternFill patternType="solid">
        <fgColor rgb="FF1A1A2E"/>
        <bgColor rgb="FF1A1A2E"/>
      </patternFill>
    </fill>
    <fill>
      <patternFill patternType="solid">
        <fgColor rgb="FF2E1A1A"/>
        <bgColor rgb="FF2E1A1A"/>
      </patternFill>
    </fill>
    <fill>
      <patternFill patternType="solid">
        <fgColor rgb="FF1E2E1E"/>
        <bgColor rgb="FF1E2E1E"/>
      </patternFill>
    </fill>
    <fill>
      <patternFill patternType="solid">
        <fgColor rgb="FF161B22"/>
        <bgColor rgb="FF161B22"/>
      </patternFill>
    </fill>
    <fill>
      <patternFill patternType="solid">
        <fgColor rgb="FFEBF5FB"/>
        <bgColor rgb="FFEBF5FB"/>
      </patternFill>
    </fill>
    <fill>
      <patternFill patternType="solid">
        <fgColor rgb="FFFFFDE7"/>
        <bgColor rgb="FFFFFDE7"/>
      </patternFill>
    </fill>
    <fill>
      <patternFill patternType="solid">
        <fgColor rgb="FFD1FAE5"/>
        <bgColor rgb="FFD1FAE5"/>
      </patternFill>
    </fill>
    <fill>
      <patternFill patternType="solid">
        <fgColor rgb="FFFFF9C4"/>
        <bgColor rgb="FFFFF9C4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1A3A5C"/>
        <bgColor rgb="FF1A3A5C"/>
      </patternFill>
    </fill>
    <fill>
      <patternFill patternType="solid">
        <fgColor rgb="FFE8F4FD"/>
        <bgColor rgb="FFE8F4FD"/>
      </patternFill>
    </fill>
    <fill>
      <patternFill patternType="solid">
        <fgColor rgb="FF0D2B45"/>
        <bgColor rgb="FF0D2B45"/>
      </patternFill>
    </fill>
    <fill>
      <patternFill patternType="solid">
        <fgColor rgb="FFD6EAF8"/>
        <bgColor rgb="FFD6EAF8"/>
      </patternFill>
    </fill>
    <fill>
      <patternFill patternType="solid">
        <fgColor rgb="FFF8FAFC"/>
        <bgColor rgb="FFF8FAFC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FEFEF"/>
      </patternFill>
    </fill>
    <fill>
      <patternFill patternType="solid">
        <fgColor rgb="00FFCCCC"/>
      </patternFill>
    </fill>
    <fill>
      <patternFill patternType="solid">
        <fgColor rgb="00D9D9D9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2D3748"/>
      </left>
      <top style="thin">
        <color rgb="FF2D3748"/>
      </top>
      <bottom style="thin">
        <color rgb="FF2D3748"/>
      </bottom>
    </border>
    <border>
      <top style="thin">
        <color rgb="FF2D3748"/>
      </top>
      <bottom style="thin">
        <color rgb="FF2D3748"/>
      </bottom>
    </border>
    <border>
      <right style="thin">
        <color rgb="FF2D3748"/>
      </right>
      <top style="thin">
        <color rgb="FF2D3748"/>
      </top>
      <bottom style="thin">
        <color rgb="FF2D3748"/>
      </bottom>
    </border>
    <border>
      <left style="thin">
        <color rgb="FF2D3748"/>
      </left>
      <right style="thin">
        <color rgb="FF2D3748"/>
      </right>
      <top style="thin">
        <color rgb="FF2D3748"/>
      </top>
      <bottom style="thin">
        <color rgb="FF2D3748"/>
      </bottom>
    </border>
    <border>
      <left/>
      <right/>
      <top/>
      <bottom/>
    </border>
    <border>
      <top style="thin">
        <color rgb="FF2D3748"/>
      </top>
    </border>
    <border>
      <right style="thin">
        <color rgb="FF2D3748"/>
      </right>
      <top style="thin">
        <color rgb="FF2D3748"/>
      </top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2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9" fillId="0" borderId="7" applyAlignment="1" pivotButton="0" quotePrefix="0" xfId="0">
      <alignment horizontal="center" vertical="center" wrapText="1"/>
    </xf>
    <xf numFmtId="164" fontId="10" fillId="13" borderId="7" applyAlignment="1" pivotButton="0" quotePrefix="0" xfId="0">
      <alignment horizontal="right" vertical="center"/>
    </xf>
    <xf numFmtId="164" fontId="11" fillId="13" borderId="7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 wrapText="1"/>
    </xf>
    <xf numFmtId="165" fontId="11" fillId="13" borderId="7" applyAlignment="1" pivotButton="0" quotePrefix="0" xfId="0">
      <alignment horizontal="center" vertical="center" wrapText="1"/>
    </xf>
    <xf numFmtId="0" fontId="11" fillId="13" borderId="7" applyAlignment="1" pivotButton="0" quotePrefix="0" xfId="0">
      <alignment horizontal="center" vertical="center" wrapText="1"/>
    </xf>
    <xf numFmtId="2" fontId="11" fillId="13" borderId="7" applyAlignment="1" pivotButton="0" quotePrefix="0" xfId="0">
      <alignment horizontal="center" vertical="center" wrapText="1"/>
    </xf>
    <xf numFmtId="1" fontId="13" fillId="13" borderId="7" applyAlignment="1" pivotButton="0" quotePrefix="0" xfId="0">
      <alignment horizontal="center" vertical="center" wrapText="1"/>
    </xf>
    <xf numFmtId="166" fontId="11" fillId="13" borderId="7" applyAlignment="1" pivotButton="0" quotePrefix="0" xfId="0">
      <alignment horizontal="center" vertical="center" wrapText="1"/>
    </xf>
    <xf numFmtId="167" fontId="14" fillId="0" borderId="7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right" vertical="center"/>
    </xf>
    <xf numFmtId="168" fontId="16" fillId="0" borderId="7" applyAlignment="1" pivotButton="0" quotePrefix="0" xfId="0">
      <alignment horizontal="center" vertical="center" wrapText="1"/>
    </xf>
    <xf numFmtId="0" fontId="17" fillId="14" borderId="7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4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center" vertical="center" wrapText="1"/>
    </xf>
    <xf numFmtId="0" fontId="16" fillId="15" borderId="7" applyAlignment="1" pivotButton="0" quotePrefix="0" xfId="0">
      <alignment horizontal="left" vertical="center" wrapText="1"/>
    </xf>
    <xf numFmtId="0" fontId="21" fillId="15" borderId="7" applyAlignment="1" pivotButton="0" quotePrefix="0" xfId="0">
      <alignment horizontal="left" vertical="center" wrapText="1"/>
    </xf>
    <xf numFmtId="0" fontId="17" fillId="16" borderId="7" applyAlignment="1" pivotButton="0" quotePrefix="0" xfId="0">
      <alignment horizontal="center" vertical="center" wrapText="1"/>
    </xf>
    <xf numFmtId="0" fontId="9" fillId="15" borderId="7" applyAlignment="1" pivotButton="0" quotePrefix="0" xfId="0">
      <alignment horizontal="left" vertical="center" wrapText="1"/>
    </xf>
    <xf numFmtId="0" fontId="22" fillId="17" borderId="7" applyAlignment="1" pivotButton="0" quotePrefix="0" xfId="0">
      <alignment horizontal="left" vertical="center" wrapText="1"/>
    </xf>
    <xf numFmtId="0" fontId="16" fillId="18" borderId="7" applyAlignment="1" pivotButton="0" quotePrefix="0" xfId="0">
      <alignment horizontal="left" vertical="center" wrapText="1"/>
    </xf>
    <xf numFmtId="0" fontId="21" fillId="18" borderId="7" applyAlignment="1" pivotButton="0" quotePrefix="0" xfId="0">
      <alignment horizontal="left" vertical="center" wrapText="1"/>
    </xf>
    <xf numFmtId="0" fontId="9" fillId="18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0" fontId="16" fillId="19" borderId="7" applyAlignment="1" pivotButton="0" quotePrefix="0" xfId="0">
      <alignment horizontal="left" vertical="center" wrapText="1"/>
    </xf>
    <xf numFmtId="0" fontId="21" fillId="19" borderId="7" applyAlignment="1" pivotButton="0" quotePrefix="0" xfId="0">
      <alignment horizontal="left" vertical="center" wrapText="1"/>
    </xf>
    <xf numFmtId="0" fontId="9" fillId="19" borderId="7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5" fillId="20" borderId="7" applyAlignment="1" pivotButton="0" quotePrefix="0" xfId="0">
      <alignment horizontal="center" vertical="center" wrapText="1"/>
    </xf>
    <xf numFmtId="0" fontId="24" fillId="21" borderId="7" applyAlignment="1" pivotButton="0" quotePrefix="0" xfId="0">
      <alignment horizontal="left" vertical="center" wrapText="1"/>
    </xf>
    <xf numFmtId="0" fontId="9" fillId="21" borderId="4" applyAlignment="1" pivotButton="0" quotePrefix="0" xfId="0">
      <alignment horizontal="left" vertical="center" wrapText="1"/>
    </xf>
    <xf numFmtId="0" fontId="5" fillId="22" borderId="7" applyAlignment="1" pivotButton="0" quotePrefix="0" xfId="0">
      <alignment horizontal="center" vertical="center" wrapText="1"/>
    </xf>
    <xf numFmtId="0" fontId="24" fillId="23" borderId="7" applyAlignment="1" pivotButton="0" quotePrefix="0" xfId="0">
      <alignment horizontal="left" vertical="center" wrapText="1"/>
    </xf>
    <xf numFmtId="0" fontId="9" fillId="23" borderId="4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9" fillId="18" borderId="7" applyAlignment="1" pivotButton="0" quotePrefix="0" xfId="0">
      <alignment horizontal="center" vertical="center" wrapText="1"/>
    </xf>
    <xf numFmtId="0" fontId="26" fillId="18" borderId="7" applyAlignment="1" pivotButton="0" quotePrefix="0" xfId="0">
      <alignment horizontal="center" vertical="center" wrapText="1"/>
    </xf>
    <xf numFmtId="164" fontId="9" fillId="18" borderId="7" applyAlignment="1" pivotButton="0" quotePrefix="0" xfId="0">
      <alignment horizontal="center" vertical="center" wrapText="1"/>
    </xf>
    <xf numFmtId="169" fontId="9" fillId="18" borderId="7" applyAlignment="1" pivotButton="0" quotePrefix="0" xfId="0">
      <alignment horizontal="center" vertical="center" wrapText="1"/>
    </xf>
    <xf numFmtId="170" fontId="9" fillId="18" borderId="7" applyAlignment="1" pivotButton="0" quotePrefix="0" xfId="0">
      <alignment horizontal="center" vertical="center" wrapText="1"/>
    </xf>
    <xf numFmtId="0" fontId="9" fillId="24" borderId="7" applyAlignment="1" pivotButton="0" quotePrefix="0" xfId="0">
      <alignment horizontal="center" vertical="center" wrapText="1"/>
    </xf>
    <xf numFmtId="0" fontId="26" fillId="24" borderId="7" applyAlignment="1" pivotButton="0" quotePrefix="0" xfId="0">
      <alignment horizontal="center" vertical="center" wrapText="1"/>
    </xf>
    <xf numFmtId="164" fontId="9" fillId="24" borderId="7" applyAlignment="1" pivotButton="0" quotePrefix="0" xfId="0">
      <alignment horizontal="center" vertical="center" wrapText="1"/>
    </xf>
    <xf numFmtId="169" fontId="9" fillId="24" borderId="7" applyAlignment="1" pivotButton="0" quotePrefix="0" xfId="0">
      <alignment horizontal="center" vertical="center" wrapText="1"/>
    </xf>
    <xf numFmtId="170" fontId="9" fillId="24" borderId="7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169" fontId="28" fillId="2" borderId="8" pivotButton="0" quotePrefix="0" xfId="0"/>
    <xf numFmtId="0" fontId="0" fillId="0" borderId="0" pivotButton="0" quotePrefix="0" xfId="0"/>
    <xf numFmtId="0" fontId="1" fillId="2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4" fillId="3" borderId="8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5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164" fontId="29" fillId="26" borderId="11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165" fontId="29" fillId="25" borderId="11" applyAlignment="1" pivotButton="0" quotePrefix="0" xfId="0">
      <alignment horizontal="center" vertical="center" wrapText="1"/>
    </xf>
    <xf numFmtId="2" fontId="29" fillId="25" borderId="11" applyAlignment="1" pivotButton="0" quotePrefix="0" xfId="0">
      <alignment horizontal="center" vertical="center" wrapText="1"/>
    </xf>
    <xf numFmtId="1" fontId="29" fillId="25" borderId="11" applyAlignment="1" pivotButton="0" quotePrefix="0" xfId="0">
      <alignment horizontal="center" vertical="center" wrapText="1"/>
    </xf>
    <xf numFmtId="166" fontId="29" fillId="25" borderId="11" applyAlignment="1" pivotButton="0" quotePrefix="0" xfId="0">
      <alignment horizontal="center" vertical="center" wrapText="1"/>
    </xf>
    <xf numFmtId="167" fontId="29" fillId="25" borderId="11" applyAlignment="1" pivotButton="0" quotePrefix="0" xfId="0">
      <alignment horizontal="center" vertical="center" wrapText="1"/>
    </xf>
    <xf numFmtId="164" fontId="29" fillId="25" borderId="11" applyAlignment="1" pivotButton="0" quotePrefix="0" xfId="0">
      <alignment horizontal="right" vertical="center"/>
    </xf>
    <xf numFmtId="168" fontId="29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165" fontId="29" fillId="27" borderId="11" applyAlignment="1" pivotButton="0" quotePrefix="0" xfId="0">
      <alignment horizontal="center" vertical="center" wrapText="1"/>
    </xf>
    <xf numFmtId="2" fontId="29" fillId="27" borderId="11" applyAlignment="1" pivotButton="0" quotePrefix="0" xfId="0">
      <alignment horizontal="center" vertical="center" wrapText="1"/>
    </xf>
    <xf numFmtId="1" fontId="29" fillId="27" borderId="11" applyAlignment="1" pivotButton="0" quotePrefix="0" xfId="0">
      <alignment horizontal="center" vertical="center" wrapText="1"/>
    </xf>
    <xf numFmtId="166" fontId="29" fillId="27" borderId="11" applyAlignment="1" pivotButton="0" quotePrefix="0" xfId="0">
      <alignment horizontal="center" vertical="center" wrapText="1"/>
    </xf>
    <xf numFmtId="167" fontId="29" fillId="27" borderId="11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right" vertical="center"/>
    </xf>
    <xf numFmtId="168" fontId="29" fillId="27" borderId="11" applyAlignment="1" pivotButton="0" quotePrefix="0" xfId="0">
      <alignment horizontal="center" vertical="center" wrapText="1"/>
    </xf>
    <xf numFmtId="0" fontId="29" fillId="27" borderId="11" pivotButton="0" quotePrefix="0" xfId="0"/>
    <xf numFmtId="0" fontId="19" fillId="2" borderId="8" applyAlignment="1" pivotButton="0" quotePrefix="0" xfId="0">
      <alignment horizontal="center" vertical="center" wrapText="1"/>
    </xf>
    <xf numFmtId="0" fontId="23" fillId="2" borderId="8" applyAlignment="1" pivotButton="0" quotePrefix="0" xfId="0">
      <alignment horizontal="center" vertical="center" wrapText="1"/>
    </xf>
    <xf numFmtId="0" fontId="9" fillId="21" borderId="7" applyAlignment="1" pivotButton="0" quotePrefix="0" xfId="0">
      <alignment horizontal="left" vertical="center" wrapText="1"/>
    </xf>
    <xf numFmtId="0" fontId="9" fillId="23" borderId="7" applyAlignment="1" pivotButton="0" quotePrefix="0" xfId="0">
      <alignment horizontal="left" vertical="center" wrapText="1"/>
    </xf>
    <xf numFmtId="0" fontId="25" fillId="2" borderId="8" applyAlignment="1" pivotButton="0" quotePrefix="0" xfId="0">
      <alignment horizontal="center" vertical="center" wrapText="1"/>
    </xf>
    <xf numFmtId="0" fontId="27" fillId="2" borderId="8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9" fillId="28" borderId="11" applyAlignment="1" pivotButton="0" quotePrefix="0" xfId="0">
      <alignment horizontal="center" vertical="center" wrapText="1"/>
    </xf>
    <xf numFmtId="0" fontId="0" fillId="29" borderId="0" pivotButton="0" quotePrefix="0" xfId="0"/>
    <xf numFmtId="0" fontId="31" fillId="30" borderId="0" applyAlignment="1" pivotButton="0" quotePrefix="0" xfId="0">
      <alignment horizontal="left" vertical="center" wrapText="1"/>
    </xf>
    <xf numFmtId="0" fontId="5" fillId="27" borderId="7" applyAlignment="1" pivotButton="0" quotePrefix="0" xfId="0">
      <alignment horizontal="center" vertical="center" wrapText="1"/>
    </xf>
    <xf numFmtId="0" fontId="0" fillId="27" borderId="5" pivotButton="0" quotePrefix="0" xfId="0"/>
    <xf numFmtId="0" fontId="0" fillId="27" borderId="6" pivotButton="0" quotePrefix="0" xfId="0"/>
    <xf numFmtId="0" fontId="32" fillId="27" borderId="7" applyAlignment="1" pivotButton="0" quotePrefix="0" xfId="0">
      <alignment horizontal="center" vertical="center" wrapText="1"/>
    </xf>
    <xf numFmtId="0" fontId="6" fillId="27" borderId="7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horizontal="center" vertical="center" wrapText="1"/>
    </xf>
    <xf numFmtId="0" fontId="30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center" vertical="center" wrapText="1"/>
    </xf>
    <xf numFmtId="165" fontId="29" fillId="31" borderId="11" applyAlignment="1" pivotButton="0" quotePrefix="0" xfId="0">
      <alignment horizontal="center" vertical="center" wrapText="1"/>
    </xf>
    <xf numFmtId="2" fontId="29" fillId="31" borderId="11" applyAlignment="1" pivotButton="0" quotePrefix="0" xfId="0">
      <alignment horizontal="center" vertical="center" wrapText="1"/>
    </xf>
    <xf numFmtId="1" fontId="29" fillId="31" borderId="11" applyAlignment="1" pivotButton="0" quotePrefix="0" xfId="0">
      <alignment horizontal="center" vertical="center" wrapText="1"/>
    </xf>
    <xf numFmtId="166" fontId="29" fillId="31" borderId="11" applyAlignment="1" pivotButton="0" quotePrefix="0" xfId="0">
      <alignment horizontal="center" vertical="center" wrapText="1"/>
    </xf>
    <xf numFmtId="0" fontId="32" fillId="31" borderId="11" applyAlignment="1" pivotButton="0" quotePrefix="0" xfId="0">
      <alignment horizontal="center" vertical="center" wrapText="1"/>
    </xf>
    <xf numFmtId="167" fontId="29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right" vertical="center"/>
    </xf>
    <xf numFmtId="164" fontId="11" fillId="31" borderId="7" applyAlignment="1" pivotButton="0" quotePrefix="0" xfId="0">
      <alignment horizontal="right" vertical="center"/>
    </xf>
    <xf numFmtId="168" fontId="29" fillId="31" borderId="11" applyAlignment="1" pivotButton="0" quotePrefix="0" xfId="0">
      <alignment horizontal="center" vertical="center" wrapText="1"/>
    </xf>
    <xf numFmtId="0" fontId="11" fillId="31" borderId="7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center" vertical="center" wrapText="1"/>
    </xf>
    <xf numFmtId="0" fontId="32" fillId="27" borderId="11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right" vertical="center"/>
    </xf>
    <xf numFmtId="0" fontId="11" fillId="27" borderId="7" applyAlignment="1" pivotButton="0" quotePrefix="0" xfId="0">
      <alignment horizontal="center" vertical="center" wrapText="1"/>
    </xf>
    <xf numFmtId="0" fontId="30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center" vertical="center" wrapText="1"/>
    </xf>
    <xf numFmtId="165" fontId="29" fillId="28" borderId="11" applyAlignment="1" pivotButton="0" quotePrefix="0" xfId="0">
      <alignment horizontal="center" vertical="center" wrapText="1"/>
    </xf>
    <xf numFmtId="2" fontId="29" fillId="28" borderId="11" applyAlignment="1" pivotButton="0" quotePrefix="0" xfId="0">
      <alignment horizontal="center" vertical="center" wrapText="1"/>
    </xf>
    <xf numFmtId="1" fontId="29" fillId="28" borderId="11" applyAlignment="1" pivotButton="0" quotePrefix="0" xfId="0">
      <alignment horizontal="center" vertical="center" wrapText="1"/>
    </xf>
    <xf numFmtId="166" fontId="29" fillId="28" borderId="11" applyAlignment="1" pivotButton="0" quotePrefix="0" xfId="0">
      <alignment horizontal="center" vertical="center" wrapText="1"/>
    </xf>
    <xf numFmtId="0" fontId="32" fillId="28" borderId="11" applyAlignment="1" pivotButton="0" quotePrefix="0" xfId="0">
      <alignment horizontal="center" vertical="center" wrapText="1"/>
    </xf>
    <xf numFmtId="167" fontId="29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right" vertical="center"/>
    </xf>
    <xf numFmtId="164" fontId="11" fillId="28" borderId="7" applyAlignment="1" pivotButton="0" quotePrefix="0" xfId="0">
      <alignment horizontal="right" vertical="center"/>
    </xf>
    <xf numFmtId="168" fontId="29" fillId="28" borderId="11" applyAlignment="1" pivotButton="0" quotePrefix="0" xfId="0">
      <alignment horizontal="center" vertical="center" wrapText="1"/>
    </xf>
    <xf numFmtId="0" fontId="11" fillId="28" borderId="7" applyAlignment="1" pivotButton="0" quotePrefix="0" xfId="0">
      <alignment horizontal="center" vertical="center" wrapText="1"/>
    </xf>
    <xf numFmtId="0" fontId="29" fillId="28" borderId="11" pivotButton="0" quotePrefix="0" xfId="0"/>
    <xf numFmtId="0" fontId="32" fillId="28" borderId="11" pivotButton="0" quotePrefix="0" xfId="0"/>
    <xf numFmtId="0" fontId="0" fillId="28" borderId="0" pivotButton="0" quotePrefix="0" xfId="0"/>
    <xf numFmtId="0" fontId="32" fillId="27" borderId="11" pivotButton="0" quotePrefix="0" xfId="0"/>
    <xf numFmtId="0" fontId="0" fillId="27" borderId="0" pivotButton="0" quotePrefix="0" xfId="0"/>
    <xf numFmtId="0" fontId="29" fillId="31" borderId="11" pivotButton="0" quotePrefix="0" xfId="0"/>
    <xf numFmtId="0" fontId="32" fillId="31" borderId="11" pivotButton="0" quotePrefix="0" xfId="0"/>
    <xf numFmtId="0" fontId="0" fillId="31" borderId="0" pivotButton="0" quotePrefix="0" xfId="0"/>
    <xf numFmtId="0" fontId="33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vertical="top" wrapText="1"/>
    </xf>
    <xf numFmtId="0" fontId="33" fillId="31" borderId="11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vertical="top" wrapText="1"/>
    </xf>
    <xf numFmtId="0" fontId="29" fillId="32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center" vertical="center" wrapText="1"/>
    </xf>
    <xf numFmtId="164" fontId="29" fillId="32" borderId="11" applyAlignment="1" pivotButton="0" quotePrefix="0" xfId="0">
      <alignment horizontal="center" vertical="center" wrapText="1"/>
    </xf>
    <xf numFmtId="0" fontId="29" fillId="32" borderId="11" pivotButton="0" quotePrefix="0" xfId="0"/>
    <xf numFmtId="165" fontId="29" fillId="32" borderId="11" applyAlignment="1" pivotButton="0" quotePrefix="0" xfId="0">
      <alignment horizontal="center" vertical="center" wrapText="1"/>
    </xf>
    <xf numFmtId="2" fontId="29" fillId="32" borderId="11" applyAlignment="1" pivotButton="0" quotePrefix="0" xfId="0">
      <alignment horizontal="center" vertical="center" wrapText="1"/>
    </xf>
    <xf numFmtId="0" fontId="32" fillId="32" borderId="11" pivotButton="0" quotePrefix="0" xfId="0"/>
    <xf numFmtId="0" fontId="33" fillId="32" borderId="11" pivotButton="0" quotePrefix="0" xfId="0"/>
    <xf numFmtId="0" fontId="0" fillId="32" borderId="0" pivotButton="0" quotePrefix="0" xfId="0"/>
    <xf numFmtId="0" fontId="29" fillId="32" borderId="11" applyAlignment="1" pivotButton="0" quotePrefix="0" xfId="0">
      <alignment vertical="top" wrapText="1"/>
    </xf>
    <xf numFmtId="0" fontId="33" fillId="27" borderId="11" pivotButton="0" quotePrefix="0" xfId="0"/>
    <xf numFmtId="0" fontId="33" fillId="31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D4FF"/>
    <outlinePr summaryBelow="1" summaryRight="1"/>
    <pageSetUpPr/>
  </sheetPr>
  <dimension ref="A1:AE24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baseColWidth="8" defaultColWidth="14.43" defaultRowHeight="15" customHeight="1"/>
  <cols>
    <col width="5" customWidth="1" style="72" min="1" max="1"/>
    <col width="14" customWidth="1" style="72" min="2" max="2"/>
    <col width="26" customWidth="1" style="72" min="3" max="3"/>
    <col width="12" customWidth="1" style="72" min="4" max="4"/>
    <col width="11" customWidth="1" style="72" min="5" max="5"/>
    <col width="10" customWidth="1" style="72" min="6" max="10"/>
    <col width="9" customWidth="1" style="72" min="11" max="16"/>
    <col width="12" customWidth="1" style="72" min="17" max="17"/>
    <col width="10" customWidth="1" style="72" min="18" max="23"/>
    <col width="12" customWidth="1" style="72" min="24" max="24"/>
    <col width="20" customWidth="1" style="72" min="25" max="25"/>
    <col width="11" customWidth="1" style="72" min="26" max="28"/>
    <col width="9" customWidth="1" style="72" min="29" max="29"/>
    <col width="25" customWidth="1" style="72" min="30" max="30"/>
    <col width="60" customWidth="1" style="72" min="31" max="31"/>
  </cols>
  <sheetData>
    <row r="1" ht="15" customHeight="1" s="72">
      <c r="A1" s="0" t="inlineStr">
        <is>
          <t>CAN SLIM  —  TRACKER DE SEGUIMIENTO</t>
        </is>
      </c>
    </row>
    <row r="2" ht="39.75" customHeight="1" s="72">
      <c r="A2" s="73" t="inlineStr">
        <is>
          <t>Última revisión completa: 30 Mayo 2026 | Watchlist activa: PAYS #1 · ABX #2 · DDI #3 · OPRA #4 · VOXR</t>
        </is>
      </c>
    </row>
    <row r="3" ht="18" customHeight="1" s="72">
      <c r="A3" s="74" t="inlineStr">
        <is>
          <t>Actualiza precio actual y datos de mercado. El sistema calcula scores y veredicto automáticamente.</t>
        </is>
      </c>
    </row>
    <row r="4" ht="13.5" customHeight="1" s="72">
      <c r="A4" s="75" t="n"/>
    </row>
    <row r="5" ht="36" customHeight="1" s="72">
      <c r="A5" s="115" t="inlineStr">
        <is>
          <t>IDENTIFICACIÓN</t>
        </is>
      </c>
      <c r="B5" s="76" t="n"/>
      <c r="C5" s="76" t="n"/>
      <c r="D5" s="76" t="n"/>
      <c r="E5" s="77" t="n"/>
      <c r="F5" s="115" t="inlineStr">
        <is>
          <t>FILTRO 1 — TÉCNICO (obligatorio)</t>
        </is>
      </c>
      <c r="G5" s="76" t="n"/>
      <c r="H5" s="76" t="n"/>
      <c r="I5" s="77" t="n"/>
      <c r="J5" s="115" t="inlineStr">
        <is>
          <t>FILTRO 2 — CALIDAD NEGOCIO</t>
        </is>
      </c>
      <c r="K5" s="76" t="n"/>
      <c r="L5" s="76" t="n"/>
      <c r="M5" s="76" t="n"/>
      <c r="N5" s="76" t="n"/>
      <c r="O5" s="77" t="n"/>
      <c r="P5" s="115" t="inlineStr">
        <is>
          <t>FILTRO 3 — INSTITUCIONAL</t>
        </is>
      </c>
      <c r="Q5" s="76" t="n"/>
      <c r="R5" s="77" t="n"/>
      <c r="S5" s="115" t="inlineStr">
        <is>
          <t>FILTRO 4 — VOLUMEN</t>
        </is>
      </c>
      <c r="T5" s="118" t="inlineStr">
        <is>
          <t>👀 WATCHLIST</t>
        </is>
      </c>
      <c r="U5" s="76" t="n"/>
      <c r="V5" s="76" t="n"/>
      <c r="W5" s="76" t="n"/>
      <c r="X5" s="76" t="n"/>
      <c r="Y5" s="77" t="n"/>
      <c r="Z5" s="115" t="inlineStr">
        <is>
          <t>GESTIÓN DE RIESGO</t>
        </is>
      </c>
      <c r="AA5" s="76" t="n"/>
      <c r="AB5" s="76" t="n"/>
      <c r="AC5" s="77" t="n"/>
      <c r="AD5" s="115" t="inlineStr">
        <is>
          <t>SEGUIMIENTO</t>
        </is>
      </c>
      <c r="AE5" s="77" t="n"/>
    </row>
    <row r="6" ht="36" customHeight="1" s="72">
      <c r="A6" s="119" t="inlineStr">
        <is>
          <t>#</t>
        </is>
      </c>
      <c r="B6" s="119" t="inlineStr">
        <is>
          <t>TICKER</t>
        </is>
      </c>
      <c r="C6" s="119" t="inlineStr">
        <is>
          <t>EMPRESA</t>
        </is>
      </c>
      <c r="D6" s="119" t="inlineStr">
        <is>
          <t>SECTOR</t>
        </is>
      </c>
      <c r="E6" s="119" t="inlineStr">
        <is>
          <t>FECHA
ANÁLISIS</t>
        </is>
      </c>
      <c r="F6" s="119" t="inlineStr">
        <is>
          <t>PRECIO
ACTUAL ($)</t>
        </is>
      </c>
      <c r="G6" s="119" t="inlineStr">
        <is>
          <t>SMA 50</t>
        </is>
      </c>
      <c r="H6" s="119" t="inlineStr">
        <is>
          <t>SMA 200</t>
        </is>
      </c>
      <c r="I6" s="119" t="inlineStr">
        <is>
          <t>TENDENCIA
SMA50&gt;200</t>
        </is>
      </c>
      <c r="J6" s="119" t="inlineStr">
        <is>
          <t>REV
GROWTH YoY</t>
        </is>
      </c>
      <c r="K6" s="119" t="inlineStr">
        <is>
          <t>EPS BEATS
(ult. 4Q)</t>
        </is>
      </c>
      <c r="L6" s="119" t="inlineStr">
        <is>
          <t>ROIC/ROE
(&gt;15%)</t>
        </is>
      </c>
      <c r="M6" s="119" t="inlineStr">
        <is>
          <t>NET
MARGIN</t>
        </is>
      </c>
      <c r="N6" s="119" t="inlineStr">
        <is>
          <t>FCF
YIELD</t>
        </is>
      </c>
      <c r="O6" s="119" t="inlineStr">
        <is>
          <t>DEBT/
EQUITY</t>
        </is>
      </c>
      <c r="P6" s="119" t="inlineStr">
        <is>
          <t>RS
RATING</t>
        </is>
      </c>
      <c r="Q6" s="119" t="inlineStr">
        <is>
          <t>INST.
OWNERSHIP</t>
        </is>
      </c>
      <c r="R6" s="119" t="inlineStr">
        <is>
          <t>TARGET
UPSIDE</t>
        </is>
      </c>
      <c r="S6" s="119" t="inlineStr">
        <is>
          <t>AVG VOL
20D (M)</t>
        </is>
      </c>
      <c r="T6" s="118" t="inlineStr">
        <is>
          <t>👀 WATCHLIST #1</t>
        </is>
      </c>
      <c r="U6" s="119" t="inlineStr">
        <is>
          <t>F2
CALIDAD</t>
        </is>
      </c>
      <c r="V6" s="119" t="inlineStr">
        <is>
          <t>F3
INST.</t>
        </is>
      </c>
      <c r="W6" s="119" t="inlineStr">
        <is>
          <t>F4
VOL</t>
        </is>
      </c>
      <c r="X6" s="119" t="inlineStr">
        <is>
          <t>SCORE
TOTAL</t>
        </is>
      </c>
      <c r="Y6" s="119" t="inlineStr">
        <is>
          <t>VEREDICTO</t>
        </is>
      </c>
      <c r="Z6" s="119" t="inlineStr">
        <is>
          <t>STOP
LOSS (-7%)</t>
        </is>
      </c>
      <c r="AA6" s="119" t="inlineStr">
        <is>
          <t>TARGET 1
(+20%)</t>
        </is>
      </c>
      <c r="AB6" s="119" t="inlineStr">
        <is>
          <t>TARGET 2
(analistas)</t>
        </is>
      </c>
      <c r="AC6" s="119" t="inlineStr">
        <is>
          <t>R/R
RATIO</t>
        </is>
      </c>
      <c r="AD6" s="119" t="inlineStr">
        <is>
          <t>PRÓXIMA
REVISIÓN</t>
        </is>
      </c>
      <c r="AE6" s="119" t="inlineStr">
        <is>
          <t>NOTAS</t>
        </is>
      </c>
    </row>
    <row r="7" ht="42" customHeight="1" s="72">
      <c r="A7" s="95" t="n">
        <v>1</v>
      </c>
      <c r="B7" s="94" t="inlineStr">
        <is>
          <t>ZVRA</t>
        </is>
      </c>
      <c r="C7" s="95" t="inlineStr">
        <is>
          <t>Zevra Therapeutics</t>
        </is>
      </c>
      <c r="D7" s="95" t="inlineStr">
        <is>
          <t>Healthcare</t>
        </is>
      </c>
      <c r="E7" s="95" t="inlineStr">
        <is>
          <t>2026-05-30</t>
        </is>
      </c>
      <c r="F7" s="133" t="n">
        <v>11.59</v>
      </c>
      <c r="G7" s="133" t="n">
        <v>10.15</v>
      </c>
      <c r="H7" s="133" t="n">
        <v>9.390000000000001</v>
      </c>
      <c r="I7" s="95">
        <f>IF(G7&gt;H7,"✅ ALCISTA","❌ BAJISTA")</f>
        <v/>
      </c>
      <c r="J7" s="96" t="n">
        <v>13.23</v>
      </c>
      <c r="K7" s="95" t="n"/>
      <c r="L7" s="96" t="n">
        <v>0.947</v>
      </c>
      <c r="M7" s="96" t="n">
        <v>0.84</v>
      </c>
      <c r="N7" s="96" t="n">
        <v>0.038</v>
      </c>
      <c r="O7" s="97" t="n">
        <v>0.01</v>
      </c>
      <c r="P7" s="98" t="n">
        <v>52</v>
      </c>
      <c r="Q7" s="96" t="n">
        <v>0.707</v>
      </c>
      <c r="R7" s="96" t="n">
        <v>0.984</v>
      </c>
      <c r="S7" s="99" t="n">
        <v>1.4</v>
      </c>
      <c r="T7" s="134" t="inlineStr">
        <is>
          <t>✅</t>
        </is>
      </c>
      <c r="U7" s="95" t="inlineStr">
        <is>
          <t>4/4</t>
        </is>
      </c>
      <c r="V7" s="95" t="inlineStr">
        <is>
          <t>2/3</t>
        </is>
      </c>
      <c r="W7" s="95">
        <f>IF(S7&gt;1,"✅ PASA",IF(S7&gt;0.5,"⚠ PARCIAL","❌ FALLA"))</f>
        <v/>
      </c>
      <c r="X7" s="100">
        <f>COUNTIF(T7:W7,"✅ PASA")+COUNTIF(T7:W7,"⚠ PARCIAL")*0.5</f>
        <v/>
      </c>
      <c r="Y7" s="157" t="inlineStr">
        <is>
          <t>👀 WATCHLIST</t>
        </is>
      </c>
      <c r="Z7" s="101">
        <f>F7*0.93</f>
        <v/>
      </c>
      <c r="AA7" s="101">
        <f>F7*1.20</f>
        <v/>
      </c>
      <c r="AB7" s="135" t="n"/>
      <c r="AC7" s="102">
        <f>IF(F7-Z7&lt;&gt;0,(AA7-F7)/MAX(F7-Z7,1),"-")</f>
        <v/>
      </c>
      <c r="AD7" s="136" t="inlineStr">
        <is>
          <t>Q2 ago26. Alerta $13.00</t>
        </is>
      </c>
      <c r="AE7" s="158" t="inlineStr">
        <is>
          <t>[30may26] BIOTECH EXCLUIDO. RS 52. Pivot $13.16 con vol ≥40%. Net income Q1 inflado por venta SDX ($43M one-time). Esperar RS&gt;70 + breakout real.</t>
        </is>
      </c>
    </row>
    <row r="8" ht="42" customHeight="1" s="72">
      <c r="A8" s="95" t="n">
        <v>2</v>
      </c>
      <c r="B8" s="94" t="inlineStr">
        <is>
          <t>PAYS</t>
        </is>
      </c>
      <c r="C8" s="95" t="inlineStr">
        <is>
          <t>Paysign Inc</t>
        </is>
      </c>
      <c r="D8" s="95" t="inlineStr">
        <is>
          <t>Technology</t>
        </is>
      </c>
      <c r="E8" s="95" t="inlineStr">
        <is>
          <t>2026-05-30</t>
        </is>
      </c>
      <c r="F8" s="133" t="n">
        <v>7.31</v>
      </c>
      <c r="G8" s="133" t="n">
        <v>5.97</v>
      </c>
      <c r="H8" s="133" t="n">
        <v>5.18</v>
      </c>
      <c r="I8" s="95">
        <f>IF(G8&gt;H8,"✅ ALCISTA","❌ BAJISTA")</f>
        <v/>
      </c>
      <c r="J8" s="96" t="n">
        <v>1.103</v>
      </c>
      <c r="K8" s="95" t="n"/>
      <c r="L8" s="96" t="n">
        <v>0.221</v>
      </c>
      <c r="M8" s="96" t="n">
        <v>0.114</v>
      </c>
      <c r="N8" s="96" t="n">
        <v>0.022</v>
      </c>
      <c r="O8" s="97" t="n">
        <v>0.11</v>
      </c>
      <c r="P8" s="98" t="n">
        <v>67</v>
      </c>
      <c r="Q8" s="96" t="n">
        <v>0.473</v>
      </c>
      <c r="R8" s="96" t="n">
        <v>0.361</v>
      </c>
      <c r="S8" s="99" t="n">
        <v>0.96</v>
      </c>
      <c r="T8" s="134" t="inlineStr">
        <is>
          <t>✅</t>
        </is>
      </c>
      <c r="U8" s="95" t="inlineStr">
        <is>
          <t>4/4</t>
        </is>
      </c>
      <c r="V8" s="95" t="inlineStr">
        <is>
          <t>2/3</t>
        </is>
      </c>
      <c r="W8" s="95">
        <f>IF(S8&gt;1,"✅ PASA",IF(S8&gt;0.5,"⚠ PARCIAL","❌ FALLA"))</f>
        <v/>
      </c>
      <c r="X8" s="100">
        <f>COUNTIF(T8:W8,"✅ PASA")+COUNTIF(T8:W8,"⚠ PARCIAL")*0.5</f>
        <v/>
      </c>
      <c r="Y8" s="157" t="inlineStr">
        <is>
          <t>👀 WATCHLIST #1</t>
        </is>
      </c>
      <c r="Z8" s="101">
        <f>F8*0.93</f>
        <v/>
      </c>
      <c r="AA8" s="101">
        <f>F8*1.20</f>
        <v/>
      </c>
      <c r="AB8" s="135" t="n"/>
      <c r="AC8" s="102">
        <f>IF(F8-Z8&lt;&gt;0,(AA8-F8)/MAX(F8-Z8,1),"-")</f>
        <v/>
      </c>
      <c r="AD8" s="136" t="inlineStr">
        <is>
          <t>Semanal. Alerta $8.50–$8.88</t>
        </is>
      </c>
      <c r="AE8" s="158" t="inlineStr">
        <is>
          <t>[30may26] MEJOR CANDIDATO. Revenue +50.8% YoY real sin one-times. D/E 0.11. ROE 22%, Margin 11%. Pivot $8.88. RS 67 único freno. Vol 960K borderline.</t>
        </is>
      </c>
    </row>
    <row r="9" ht="42" customHeight="1" s="72">
      <c r="A9" s="120" t="n">
        <v>3</v>
      </c>
      <c r="B9" s="121" t="inlineStr">
        <is>
          <t>AUPH</t>
        </is>
      </c>
      <c r="C9" s="120" t="inlineStr">
        <is>
          <t>Aurinia Pharmaceuticals</t>
        </is>
      </c>
      <c r="D9" s="120" t="inlineStr">
        <is>
          <t>Healthcare</t>
        </is>
      </c>
      <c r="E9" s="120" t="inlineStr">
        <is>
          <t>2026-05-30</t>
        </is>
      </c>
      <c r="F9" s="122" t="n">
        <v>15.06</v>
      </c>
      <c r="G9" s="122" t="n">
        <v>15.49</v>
      </c>
      <c r="H9" s="122" t="n">
        <v>14.32</v>
      </c>
      <c r="I9" s="120">
        <f>IF(G9&gt;H9,"✅ ALCISTA","❌ BAJISTA")</f>
        <v/>
      </c>
      <c r="J9" s="123" t="n">
        <v>0.472</v>
      </c>
      <c r="K9" s="120" t="n"/>
      <c r="L9" s="123" t="n">
        <v>0.65</v>
      </c>
      <c r="M9" s="123" t="n">
        <v>1</v>
      </c>
      <c r="N9" s="123" t="n">
        <v>0.064</v>
      </c>
      <c r="O9" s="124" t="n">
        <v>0.12</v>
      </c>
      <c r="P9" s="125" t="n">
        <v>79</v>
      </c>
      <c r="Q9" s="123" t="n">
        <v>0.594</v>
      </c>
      <c r="R9" s="123" t="n">
        <v>0.129</v>
      </c>
      <c r="S9" s="126" t="n">
        <v>1.2</v>
      </c>
      <c r="T9" s="127" t="inlineStr">
        <is>
          <t>⚠️</t>
        </is>
      </c>
      <c r="U9" s="120" t="inlineStr">
        <is>
          <t>4/4</t>
        </is>
      </c>
      <c r="V9" s="120" t="inlineStr">
        <is>
          <t>1/3</t>
        </is>
      </c>
      <c r="W9" s="120">
        <f>IF(S9&gt;1,"✅ PASA",IF(S9&gt;0.5,"⚠ PARCIAL","❌ FALLA"))</f>
        <v/>
      </c>
      <c r="X9" s="128">
        <f>COUNTIF(T9:W9,"✅ PASA")+COUNTIF(T9:W9,"⚠ PARCIAL")*0.5</f>
        <v/>
      </c>
      <c r="Y9" s="159" t="inlineStr">
        <is>
          <t>🚫 DESCARTAR</t>
        </is>
      </c>
      <c r="Z9" s="129">
        <f>F9*0.93</f>
        <v/>
      </c>
      <c r="AA9" s="129">
        <f>F9*1.20</f>
        <v/>
      </c>
      <c r="AB9" s="130" t="n"/>
      <c r="AC9" s="131">
        <f>IF(F9-Z9&lt;&gt;0,(AA9-F9)/MAX(F9-Z9,1),"-")</f>
        <v/>
      </c>
      <c r="AD9" s="132" t="inlineStr">
        <is>
          <t>Reevaluar en 2T si rev &gt;25%</t>
        </is>
      </c>
      <c r="AE9" s="160" t="inlineStr">
        <is>
          <t>[30may26] Revenue +24% borderline. Guidance FY26 +11-15% (desaceleración). CEO+COO+CFO reemplazados en mar26. R/R 0.6x. Upside analistas solo +12.9%.</t>
        </is>
      </c>
    </row>
    <row r="10" ht="42" customHeight="1" s="72">
      <c r="A10" s="95" t="n">
        <v>4</v>
      </c>
      <c r="B10" s="94" t="inlineStr">
        <is>
          <t>VOXR</t>
        </is>
      </c>
      <c r="C10" s="95" t="inlineStr">
        <is>
          <t>Vox Royalty Corp</t>
        </is>
      </c>
      <c r="D10" s="95" t="inlineStr">
        <is>
          <t>Basic Materials</t>
        </is>
      </c>
      <c r="E10" s="95" t="inlineStr">
        <is>
          <t>2026-05-30</t>
        </is>
      </c>
      <c r="F10" s="133" t="n">
        <v>5.8</v>
      </c>
      <c r="G10" s="133" t="n">
        <v>5.54</v>
      </c>
      <c r="H10" s="133" t="n">
        <v>4.84</v>
      </c>
      <c r="I10" s="95">
        <f>IF(G10&gt;H10,"✅ ALCISTA","❌ BAJISTA")</f>
        <v/>
      </c>
      <c r="J10" s="96" t="n">
        <v>49.831</v>
      </c>
      <c r="K10" s="95" t="n"/>
      <c r="L10" s="96" t="n">
        <v>0.349</v>
      </c>
      <c r="M10" s="96" t="n">
        <v>1.025</v>
      </c>
      <c r="N10" s="96" t="n">
        <v>0.044</v>
      </c>
      <c r="O10" s="97" t="n">
        <v>0</v>
      </c>
      <c r="P10" s="98" t="n">
        <v>67</v>
      </c>
      <c r="Q10" s="96" t="n">
        <v>0.8080000000000001</v>
      </c>
      <c r="R10" s="96" t="n">
        <v>0.332</v>
      </c>
      <c r="S10" s="99" t="n">
        <v>0.49</v>
      </c>
      <c r="T10" s="134" t="inlineStr">
        <is>
          <t>✅</t>
        </is>
      </c>
      <c r="U10" s="95" t="inlineStr">
        <is>
          <t>3/4</t>
        </is>
      </c>
      <c r="V10" s="95" t="inlineStr">
        <is>
          <t>1/3</t>
        </is>
      </c>
      <c r="W10" s="95">
        <f>IF(S10&gt;1,"✅ PASA",IF(S10&gt;0.5,"⚠ PARCIAL","❌ FALLA"))</f>
        <v/>
      </c>
      <c r="X10" s="100">
        <f>COUNTIF(T10:W10,"✅ PASA")+COUNTIF(T10:W10,"⚠ PARCIAL")*0.5</f>
        <v/>
      </c>
      <c r="Y10" s="157" t="inlineStr">
        <is>
          <t>👀 WATCHLIST</t>
        </is>
      </c>
      <c r="Z10" s="101">
        <f>F10*0.93</f>
        <v/>
      </c>
      <c r="AA10" s="101">
        <f>F10*1.20</f>
        <v/>
      </c>
      <c r="AB10" s="135" t="n"/>
      <c r="AC10" s="102">
        <f>IF(F10-Z10&lt;&gt;0,(AA10-F10)/MAX(F10-Z10,1),"-")</f>
        <v/>
      </c>
      <c r="AD10" s="136" t="inlineStr">
        <is>
          <t>Mensual. Vigilar vol &gt;1M</t>
        </is>
      </c>
      <c r="AE10" s="158" t="inlineStr">
        <is>
          <t>[30may26] Record Q1: net income $24.5M vs pérdida Q1 2025. GDXJ inclusion. Vol 513K (mitad del mínimo). RS 67. R/R 0.4x. Upside analistas insuficiente.</t>
        </is>
      </c>
    </row>
    <row r="11" ht="42" customHeight="1" s="72">
      <c r="A11" s="120" t="n">
        <v>5</v>
      </c>
      <c r="B11" s="121" t="inlineStr">
        <is>
          <t>LPG</t>
        </is>
      </c>
      <c r="C11" s="120" t="inlineStr">
        <is>
          <t>Dorian LPG Ltd</t>
        </is>
      </c>
      <c r="D11" s="120" t="inlineStr">
        <is>
          <t>Energy</t>
        </is>
      </c>
      <c r="E11" s="120" t="inlineStr">
        <is>
          <t>2026-05-30</t>
        </is>
      </c>
      <c r="F11" s="122" t="n">
        <v>40.33</v>
      </c>
      <c r="G11" s="122" t="n">
        <v>37.12</v>
      </c>
      <c r="H11" s="122" t="n">
        <v>30.01</v>
      </c>
      <c r="I11" s="120">
        <f>IF(G11&gt;H11,"✅ ALCISTA","❌ BAJISTA")</f>
        <v/>
      </c>
      <c r="J11" s="123" t="n">
        <v>9.012</v>
      </c>
      <c r="K11" s="120" t="n"/>
      <c r="L11" s="123" t="n">
        <v>0.177</v>
      </c>
      <c r="M11" s="123" t="n">
        <v>0.408</v>
      </c>
      <c r="N11" s="123" t="n">
        <v>0.029</v>
      </c>
      <c r="O11" s="124" t="n">
        <v>0.62</v>
      </c>
      <c r="P11" s="125" t="n">
        <v>86</v>
      </c>
      <c r="Q11" s="123" t="n">
        <v>0.698</v>
      </c>
      <c r="R11" s="123" t="n">
        <v>0.2</v>
      </c>
      <c r="S11" s="126" t="n">
        <v>0.58</v>
      </c>
      <c r="T11" s="127" t="inlineStr">
        <is>
          <t>🚫</t>
        </is>
      </c>
      <c r="U11" s="120" t="inlineStr">
        <is>
          <t>3/4</t>
        </is>
      </c>
      <c r="V11" s="120" t="inlineStr">
        <is>
          <t>2/3</t>
        </is>
      </c>
      <c r="W11" s="120">
        <f>IF(S11&gt;1,"✅ PASA",IF(S11&gt;0.5,"⚠ PARCIAL","❌ FALLA"))</f>
        <v/>
      </c>
      <c r="X11" s="128">
        <f>COUNTIF(T11:W11,"✅ PASA")+COUNTIF(T11:W11,"⚠ PARCIAL")*0.5</f>
        <v/>
      </c>
      <c r="Y11" s="159" t="inlineStr">
        <is>
          <t>🚫 DESCARTAR</t>
        </is>
      </c>
      <c r="Z11" s="129">
        <f>F11*0.93</f>
        <v/>
      </c>
      <c r="AA11" s="129">
        <f>F11*1.20</f>
        <v/>
      </c>
      <c r="AB11" s="130" t="n"/>
      <c r="AC11" s="131">
        <f>IF(F11-Z11&lt;&gt;0,(AA11-F11)/MAX(F11-Z11,1),"-")</f>
        <v/>
      </c>
      <c r="AD11" s="132" t="inlineStr">
        <is>
          <t>Sin revisión activa</t>
        </is>
      </c>
      <c r="AE11" s="160" t="inlineStr">
        <is>
          <t>[30may26] Cíclico shipping. Q4 +102% pero Q1 -26.3% YoY. Revenue dependiente de tasas VLGC. F1 falla por revenue negativo en trimestre más reciente.</t>
        </is>
      </c>
    </row>
    <row r="12" ht="42" customHeight="1" s="72">
      <c r="A12" s="120" t="n">
        <v>6</v>
      </c>
      <c r="B12" s="121" t="inlineStr">
        <is>
          <t>FLXS</t>
        </is>
      </c>
      <c r="C12" s="120" t="inlineStr">
        <is>
          <t>Flexsteel Industries</t>
        </is>
      </c>
      <c r="D12" s="120" t="inlineStr">
        <is>
          <t>Consumer</t>
        </is>
      </c>
      <c r="E12" s="120" t="inlineStr">
        <is>
          <t>2026-05-30</t>
        </is>
      </c>
      <c r="F12" s="122" t="n">
        <v>59.31</v>
      </c>
      <c r="G12" s="122" t="n">
        <v>50.95</v>
      </c>
      <c r="H12" s="122" t="n">
        <v>44.82</v>
      </c>
      <c r="I12" s="120">
        <f>IF(G12&gt;H12,"✅ ALCISTA","❌ BAJISTA")</f>
        <v/>
      </c>
      <c r="J12" s="123" t="n">
        <v>2.722</v>
      </c>
      <c r="K12" s="120" t="n"/>
      <c r="L12" s="123" t="n">
        <v>0.181</v>
      </c>
      <c r="M12" s="123" t="n">
        <v>0.068</v>
      </c>
      <c r="N12" s="123" t="n">
        <v>0.09</v>
      </c>
      <c r="O12" s="124" t="n">
        <v>0.29</v>
      </c>
      <c r="P12" s="125" t="n">
        <v>83</v>
      </c>
      <c r="Q12" s="123" t="n">
        <v>0.704</v>
      </c>
      <c r="R12" s="123" t="n">
        <v>0.189</v>
      </c>
      <c r="S12" s="126" t="n">
        <v>0.049</v>
      </c>
      <c r="T12" s="127" t="inlineStr">
        <is>
          <t>🚫</t>
        </is>
      </c>
      <c r="U12" s="120" t="inlineStr">
        <is>
          <t>3/4</t>
        </is>
      </c>
      <c r="V12" s="120" t="inlineStr">
        <is>
          <t>2/3</t>
        </is>
      </c>
      <c r="W12" s="120">
        <f>IF(S12&gt;1,"✅ PASA",IF(S12&gt;0.5,"⚠ PARCIAL","❌ FALLA"))</f>
        <v/>
      </c>
      <c r="X12" s="128">
        <f>COUNTIF(T12:W12,"✅ PASA")+COUNTIF(T12:W12,"⚠ PARCIAL")*0.5</f>
        <v/>
      </c>
      <c r="Y12" s="159" t="inlineStr">
        <is>
          <t>🚫 DESCARTAR</t>
        </is>
      </c>
      <c r="Z12" s="129">
        <f>F12*0.93</f>
        <v/>
      </c>
      <c r="AA12" s="129">
        <f>F12*1.20</f>
        <v/>
      </c>
      <c r="AB12" s="130" t="n"/>
      <c r="AC12" s="131">
        <f>IF(F12-Z12&lt;&gt;0,(AA12-F12)/MAX(F12-Z12,1),"-")</f>
        <v/>
      </c>
      <c r="AD12" s="132" t="inlineStr">
        <is>
          <t>Sin revisión activa</t>
        </is>
      </c>
      <c r="AE12" s="160" t="inlineStr">
        <is>
          <t>[30may26] Revenue Q3 +1% YoY, Q2 +9% YoY. Muy lejos del umbral 25%. Volumen 48K irrisorio. Manufactura muebles sin catalizador. F1 falla.</t>
        </is>
      </c>
    </row>
    <row r="13" ht="42" customHeight="1" s="72">
      <c r="A13" s="120" t="n">
        <v>7</v>
      </c>
      <c r="B13" s="121" t="inlineStr">
        <is>
          <t>NVGS</t>
        </is>
      </c>
      <c r="C13" s="120" t="inlineStr">
        <is>
          <t>Navigator Holdings</t>
        </is>
      </c>
      <c r="D13" s="120" t="inlineStr">
        <is>
          <t>Energy</t>
        </is>
      </c>
      <c r="E13" s="120" t="inlineStr">
        <is>
          <t>2026-05-30</t>
        </is>
      </c>
      <c r="F13" s="122" t="n">
        <v>21.7</v>
      </c>
      <c r="G13" s="122" t="n">
        <v>21.17</v>
      </c>
      <c r="H13" s="122" t="n">
        <v>18.22</v>
      </c>
      <c r="I13" s="120">
        <f>IF(G13&gt;H13,"✅ ALCISTA","❌ BAJISTA")</f>
        <v/>
      </c>
      <c r="J13" s="123" t="n">
        <v>0.312</v>
      </c>
      <c r="K13" s="120" t="n"/>
      <c r="L13" s="123" t="n">
        <v>0.091</v>
      </c>
      <c r="M13" s="123" t="n">
        <v>0.188</v>
      </c>
      <c r="N13" s="123" t="n">
        <v>0.092</v>
      </c>
      <c r="O13" s="124" t="n">
        <v>0.74</v>
      </c>
      <c r="P13" s="125" t="n">
        <v>61</v>
      </c>
      <c r="Q13" s="123" t="n">
        <v>0.414</v>
      </c>
      <c r="R13" s="123" t="n">
        <v>0.164</v>
      </c>
      <c r="S13" s="126" t="n">
        <v>0.49</v>
      </c>
      <c r="T13" s="127" t="inlineStr">
        <is>
          <t>🚫</t>
        </is>
      </c>
      <c r="U13" s="120" t="inlineStr">
        <is>
          <t>3/4</t>
        </is>
      </c>
      <c r="V13" s="120" t="inlineStr">
        <is>
          <t>1/3</t>
        </is>
      </c>
      <c r="W13" s="120">
        <f>IF(S13&gt;1,"✅ PASA",IF(S13&gt;0.5,"⚠ PARCIAL","❌ FALLA"))</f>
        <v/>
      </c>
      <c r="X13" s="128">
        <f>COUNTIF(T13:W13,"✅ PASA")+COUNTIF(T13:W13,"⚠ PARCIAL")*0.5</f>
        <v/>
      </c>
      <c r="Y13" s="159" t="inlineStr">
        <is>
          <t>🚫 DESCARTAR</t>
        </is>
      </c>
      <c r="Z13" s="129">
        <f>F13*0.93</f>
        <v/>
      </c>
      <c r="AA13" s="129">
        <f>F13*1.20</f>
        <v/>
      </c>
      <c r="AB13" s="130" t="n"/>
      <c r="AC13" s="131">
        <f>IF(F13-Z13&lt;&gt;0,(AA13-F13)/MAX(F13-Z13,1),"-")</f>
        <v/>
      </c>
      <c r="AD13" s="132" t="inlineStr">
        <is>
          <t>Sin revisión activa</t>
        </is>
      </c>
      <c r="AE13" s="160" t="inlineStr">
        <is>
          <t>[30may26] Revenue Q1 $121M vs estimado $151M — miss $30M. Cíclico shipping gas. Record net income por venta activos (one-time $15.2M). F1 falla.</t>
        </is>
      </c>
    </row>
    <row r="14" ht="42" customHeight="1" s="72">
      <c r="A14" s="120" t="n">
        <v>8</v>
      </c>
      <c r="B14" s="121" t="inlineStr">
        <is>
          <t>SPIR</t>
        </is>
      </c>
      <c r="C14" s="120" t="inlineStr">
        <is>
          <t>Spire Global</t>
        </is>
      </c>
      <c r="D14" s="120" t="inlineStr">
        <is>
          <t>Industrials</t>
        </is>
      </c>
      <c r="E14" s="120" t="inlineStr">
        <is>
          <t>2026-05-30</t>
        </is>
      </c>
      <c r="F14" s="122" t="n">
        <v>22.71</v>
      </c>
      <c r="G14" s="122" t="n">
        <v>17.75</v>
      </c>
      <c r="H14" s="122" t="n">
        <v>11.92</v>
      </c>
      <c r="I14" s="120">
        <f>IF(G14&gt;H14,"✅ ALCISTA","❌ BAJISTA")</f>
        <v/>
      </c>
      <c r="J14" s="123" t="n">
        <v>0.464</v>
      </c>
      <c r="K14" s="120" t="n"/>
      <c r="L14" s="123" t="n">
        <v>1.012</v>
      </c>
      <c r="M14" s="123" t="n">
        <v>0.771</v>
      </c>
      <c r="N14" s="123" t="n">
        <v>0.011</v>
      </c>
      <c r="O14" s="124" t="n">
        <v>0.13</v>
      </c>
      <c r="P14" s="125" t="n">
        <v>91</v>
      </c>
      <c r="Q14" s="123" t="n">
        <v>0.382</v>
      </c>
      <c r="R14" s="123" t="n">
        <v>-0.103</v>
      </c>
      <c r="S14" s="126" t="n">
        <v>1.7</v>
      </c>
      <c r="T14" s="127" t="inlineStr">
        <is>
          <t>🚫</t>
        </is>
      </c>
      <c r="U14" s="120" t="inlineStr">
        <is>
          <t>3/4</t>
        </is>
      </c>
      <c r="V14" s="120" t="inlineStr">
        <is>
          <t>1/3</t>
        </is>
      </c>
      <c r="W14" s="120">
        <f>IF(S14&gt;1,"✅ PASA",IF(S14&gt;0.5,"⚠ PARCIAL","❌ FALLA"))</f>
        <v/>
      </c>
      <c r="X14" s="128">
        <f>COUNTIF(T14:W14,"✅ PASA")+COUNTIF(T14:W14,"⚠ PARCIAL")*0.5</f>
        <v/>
      </c>
      <c r="Y14" s="159" t="inlineStr">
        <is>
          <t>🚫 DESCARTAR</t>
        </is>
      </c>
      <c r="Z14" s="129">
        <f>F14*0.93</f>
        <v/>
      </c>
      <c r="AA14" s="129">
        <f>F14*1.20</f>
        <v/>
      </c>
      <c r="AB14" s="130" t="n"/>
      <c r="AC14" s="131">
        <f>IF(F14-Z14&lt;&gt;0,(AA14-F14)/MAX(F14-Z14,1),"-")</f>
        <v/>
      </c>
      <c r="AD14" s="132" t="inlineStr">
        <is>
          <t>Sin revisión activa</t>
        </is>
      </c>
      <c r="AE14" s="160" t="inlineStr">
        <is>
          <t>[30may26] Revenue Q1 $15.8M vs estimado $38.1M — miss brutal -58%. Revenue core -26.9% YoY. Negocio en restructuración. F1 falla sin discusión.</t>
        </is>
      </c>
    </row>
    <row r="15" ht="42" customHeight="1" s="72">
      <c r="A15" s="120" t="n">
        <v>9</v>
      </c>
      <c r="B15" s="121" t="inlineStr">
        <is>
          <t>TRS</t>
        </is>
      </c>
      <c r="C15" s="120" t="inlineStr">
        <is>
          <t>TriMas Corporation</t>
        </is>
      </c>
      <c r="D15" s="120" t="inlineStr">
        <is>
          <t>Consumer</t>
        </is>
      </c>
      <c r="E15" s="120" t="inlineStr">
        <is>
          <t>2026-05-30</t>
        </is>
      </c>
      <c r="F15" s="122" t="n">
        <v>41</v>
      </c>
      <c r="G15" s="122" t="n">
        <v>38.13</v>
      </c>
      <c r="H15" s="122" t="n">
        <v>36.53</v>
      </c>
      <c r="I15" s="120">
        <f>IF(G15&gt;H15,"✅ ALCISTA","❌ BAJISTA")</f>
        <v/>
      </c>
      <c r="J15" s="123" t="n">
        <v>63.479</v>
      </c>
      <c r="K15" s="120" t="n"/>
      <c r="L15" s="123" t="n">
        <v>0.017</v>
      </c>
      <c r="M15" s="123" t="n">
        <v>1.373</v>
      </c>
      <c r="N15" s="123" t="n">
        <v>0.234</v>
      </c>
      <c r="O15" s="124" t="n">
        <v>0.31</v>
      </c>
      <c r="P15" s="125" t="n">
        <v>62</v>
      </c>
      <c r="Q15" s="123" t="n">
        <v>1.001</v>
      </c>
      <c r="R15" s="123" t="n">
        <v>0.098</v>
      </c>
      <c r="S15" s="126" t="n">
        <v>0.5</v>
      </c>
      <c r="T15" s="127" t="inlineStr">
        <is>
          <t>🚫</t>
        </is>
      </c>
      <c r="U15" s="120" t="inlineStr">
        <is>
          <t>1/4</t>
        </is>
      </c>
      <c r="V15" s="120" t="inlineStr">
        <is>
          <t>1/3</t>
        </is>
      </c>
      <c r="W15" s="120">
        <f>IF(S15&gt;1,"✅ PASA",IF(S15&gt;0.5,"⚠ PARCIAL","❌ FALLA"))</f>
        <v/>
      </c>
      <c r="X15" s="128">
        <f>COUNTIF(T15:W15,"✅ PASA")+COUNTIF(T15:W15,"⚠ PARCIAL")*0.5</f>
        <v/>
      </c>
      <c r="Y15" s="159" t="inlineStr">
        <is>
          <t>🚫 DESCARTAR</t>
        </is>
      </c>
      <c r="Z15" s="129">
        <f>F15*0.93</f>
        <v/>
      </c>
      <c r="AA15" s="129">
        <f>F15*1.20</f>
        <v/>
      </c>
      <c r="AB15" s="130" t="n"/>
      <c r="AC15" s="131">
        <f>IF(F15-Z15&lt;&gt;0,(AA15-F15)/MAX(F15-Z15,1),"-")</f>
        <v/>
      </c>
      <c r="AD15" s="132" t="inlineStr">
        <is>
          <t>Sin revisión activa</t>
        </is>
      </c>
      <c r="AE15" s="160" t="inlineStr">
        <is>
          <t>[30may26] ROE 1.7% elimina F2 inmediatamente. Sin momentum de analistas. Sin catalizador visible. F2 falla 2/4 como mínimo.</t>
        </is>
      </c>
    </row>
    <row r="16" ht="42" customHeight="1" s="72">
      <c r="A16" s="120" t="n">
        <v>10</v>
      </c>
      <c r="B16" s="121" t="inlineStr">
        <is>
          <t>CTS</t>
        </is>
      </c>
      <c r="C16" s="120" t="inlineStr">
        <is>
          <t>CTS Corporation</t>
        </is>
      </c>
      <c r="D16" s="120" t="inlineStr">
        <is>
          <t>Technology</t>
        </is>
      </c>
      <c r="E16" s="120" t="inlineStr">
        <is>
          <t>2026-05-30</t>
        </is>
      </c>
      <c r="F16" s="122" t="n">
        <v>64.43000000000001</v>
      </c>
      <c r="G16" s="122" t="n">
        <v>55.37</v>
      </c>
      <c r="H16" s="122" t="n">
        <v>47.44</v>
      </c>
      <c r="I16" s="120">
        <f>IF(G16&gt;H16,"✅ ALCISTA","❌ BAJISTA")</f>
        <v/>
      </c>
      <c r="J16" s="123" t="n">
        <v>0.287</v>
      </c>
      <c r="K16" s="120" t="n"/>
      <c r="L16" s="123" t="n">
        <v>0.126</v>
      </c>
      <c r="M16" s="123" t="n">
        <v>0.125</v>
      </c>
      <c r="N16" s="123" t="n">
        <v>0.037</v>
      </c>
      <c r="O16" s="124" t="n">
        <v>0.17</v>
      </c>
      <c r="P16" s="125" t="n">
        <v>64</v>
      </c>
      <c r="Q16" s="123" t="n">
        <v>0.991</v>
      </c>
      <c r="R16" s="123" t="n">
        <v>-0.1</v>
      </c>
      <c r="S16" s="126" t="n">
        <v>0.24</v>
      </c>
      <c r="T16" s="127" t="inlineStr">
        <is>
          <t>✅</t>
        </is>
      </c>
      <c r="U16" s="120" t="inlineStr">
        <is>
          <t>3/4</t>
        </is>
      </c>
      <c r="V16" s="120" t="inlineStr">
        <is>
          <t>0/3</t>
        </is>
      </c>
      <c r="W16" s="120">
        <f>IF(S16&gt;1,"✅ PASA",IF(S16&gt;0.5,"⚠ PARCIAL","❌ FALLA"))</f>
        <v/>
      </c>
      <c r="X16" s="128">
        <f>COUNTIF(T16:W16,"✅ PASA")+COUNTIF(T16:W16,"⚠ PARCIAL")*0.5</f>
        <v/>
      </c>
      <c r="Y16" s="159" t="inlineStr">
        <is>
          <t>🚫 DESCARTAR</t>
        </is>
      </c>
      <c r="Z16" s="129">
        <f>F16*0.93</f>
        <v/>
      </c>
      <c r="AA16" s="129">
        <f>F16*1.20</f>
        <v/>
      </c>
      <c r="AB16" s="130" t="n"/>
      <c r="AC16" s="131">
        <f>IF(F16-Z16&lt;&gt;0,(AA16-F16)/MAX(F16-Z16,1),"-")</f>
        <v/>
      </c>
      <c r="AD16" s="132" t="inlineStr">
        <is>
          <t>Sin revisión activa</t>
        </is>
      </c>
      <c r="AE16" s="160" t="inlineStr">
        <is>
          <t>[30may26] Analistas ven downside -10% desde precio actual. Upside negativo destruye F3 completamente. F3 0/3. Sin momentum institucional.</t>
        </is>
      </c>
    </row>
    <row r="17" ht="42" customHeight="1" s="72">
      <c r="A17" s="161" t="n">
        <v>11</v>
      </c>
      <c r="B17" s="162" t="inlineStr">
        <is>
          <t>ABUS</t>
        </is>
      </c>
      <c r="C17" s="161" t="inlineStr">
        <is>
          <t>Arbutus Biopharma</t>
        </is>
      </c>
      <c r="D17" s="161" t="inlineStr">
        <is>
          <t>Healthcare</t>
        </is>
      </c>
      <c r="E17" s="161" t="inlineStr">
        <is>
          <t>2026-05-30</t>
        </is>
      </c>
      <c r="F17" s="163" t="n">
        <v>4.56</v>
      </c>
      <c r="G17" s="163" t="n">
        <v>4.38</v>
      </c>
      <c r="H17" s="163" t="n">
        <v>4.36</v>
      </c>
      <c r="I17" s="164">
        <f>IF(G17&gt;H17,"✅ ALCISTA","❌ BAJISTA")</f>
        <v/>
      </c>
      <c r="J17" s="165" t="n">
        <v>7.919</v>
      </c>
      <c r="K17" s="161" t="n"/>
      <c r="L17" s="165" t="n">
        <v>0.947</v>
      </c>
      <c r="M17" s="165" t="n">
        <v>0.84</v>
      </c>
      <c r="N17" s="165" t="n">
        <v>-0.1</v>
      </c>
      <c r="O17" s="166" t="n">
        <v>0.02</v>
      </c>
      <c r="P17" s="161" t="n">
        <v>52</v>
      </c>
      <c r="Q17" s="165" t="n">
        <v>0.719</v>
      </c>
      <c r="R17" s="165" t="n">
        <v>0.13</v>
      </c>
      <c r="S17" s="161" t="n">
        <v>2.2</v>
      </c>
      <c r="T17" s="167" t="inlineStr">
        <is>
          <t>—</t>
        </is>
      </c>
      <c r="U17" s="164" t="inlineStr">
        <is>
          <t>—</t>
        </is>
      </c>
      <c r="V17" s="164" t="inlineStr">
        <is>
          <t>—</t>
        </is>
      </c>
      <c r="W17" s="164">
        <f>IF(S17&gt;1,"✅ PASA",IF(S17&gt;0.5,"⚠ PARCIAL","❌ FALLA"))</f>
        <v/>
      </c>
      <c r="X17" s="164">
        <f>COUNTIF(T17:W17,"✅ PASA")+COUNTIF(T17:W17,"⚠ PARCIAL")*0.5</f>
        <v/>
      </c>
      <c r="Y17" s="168" t="inlineStr">
        <is>
          <t>🚫 ELIMINADO</t>
        </is>
      </c>
      <c r="Z17" s="164">
        <f>F17*0.93</f>
        <v/>
      </c>
      <c r="AA17" s="164">
        <f>F17*1.20</f>
        <v/>
      </c>
      <c r="AB17" s="169" t="n"/>
      <c r="AC17" s="164">
        <f>IF(F17-Z17&lt;&gt;0,(AA17-F17)/MAX(F17-Z17,1),"-")</f>
        <v/>
      </c>
      <c r="AD17" s="169" t="inlineStr">
        <is>
          <t>Sin revisión — biotech</t>
        </is>
      </c>
      <c r="AE17" s="170" t="inlineStr">
        <is>
          <t>[30may26] BIOTECH EXCLUIDO del universo CAN SLIM. Sin producto comercializado con revenue recurrente real. FCF negativo.</t>
        </is>
      </c>
    </row>
    <row r="18" ht="42" customHeight="1" s="72">
      <c r="A18" s="95" t="n">
        <v>12</v>
      </c>
      <c r="B18" s="94" t="inlineStr">
        <is>
          <t>ABX</t>
        </is>
      </c>
      <c r="C18" s="95" t="inlineStr">
        <is>
          <t>Abacus Global Mgmt</t>
        </is>
      </c>
      <c r="D18" s="95" t="inlineStr">
        <is>
          <t>Financial</t>
        </is>
      </c>
      <c r="E18" s="95" t="inlineStr">
        <is>
          <t>2026-05-30</t>
        </is>
      </c>
      <c r="F18" s="133" t="n">
        <v>8.98</v>
      </c>
      <c r="G18" s="133" t="n">
        <v>8.94</v>
      </c>
      <c r="H18" s="133" t="n">
        <v>7.62</v>
      </c>
      <c r="I18" s="103">
        <f>IF(G18&gt;H18,"✅ ALCISTA","❌ BAJISTA")</f>
        <v/>
      </c>
      <c r="J18" s="96" t="n">
        <v>0.5659999999999999</v>
      </c>
      <c r="K18" s="95" t="n"/>
      <c r="L18" s="96" t="n">
        <v>0.091</v>
      </c>
      <c r="M18" s="96" t="n">
        <v>0.156</v>
      </c>
      <c r="N18" s="96" t="n">
        <v>0.096</v>
      </c>
      <c r="O18" s="97" t="n">
        <v>0.8100000000000001</v>
      </c>
      <c r="P18" s="95" t="n">
        <v>44</v>
      </c>
      <c r="Q18" s="96" t="n">
        <v>0.285</v>
      </c>
      <c r="R18" s="96" t="n">
        <v>0.513</v>
      </c>
      <c r="S18" s="95" t="n">
        <v>0.64</v>
      </c>
      <c r="T18" s="152" t="inlineStr">
        <is>
          <t>✅</t>
        </is>
      </c>
      <c r="U18" s="103" t="inlineStr">
        <is>
          <t>3/4</t>
        </is>
      </c>
      <c r="V18" s="103" t="inlineStr">
        <is>
          <t>1/3</t>
        </is>
      </c>
      <c r="W18" s="103">
        <f>IF(S18&gt;1,"✅ PASA",IF(S18&gt;0.5,"⚠ PARCIAL","❌ FALLA"))</f>
        <v/>
      </c>
      <c r="X18" s="103">
        <f>COUNTIF(T18:W18,"✅ PASA")+COUNTIF(T18:W18,"⚠ PARCIAL")*0.5</f>
        <v/>
      </c>
      <c r="Y18" s="171" t="inlineStr">
        <is>
          <t>👀 WATCHLIST #2</t>
        </is>
      </c>
      <c r="Z18" s="103">
        <f>F18*0.93</f>
        <v/>
      </c>
      <c r="AA18" s="103">
        <f>F18*1.20</f>
        <v/>
      </c>
      <c r="AB18" s="153" t="n"/>
      <c r="AC18" s="103">
        <f>IF(F18-Z18&lt;&gt;0,(AA18-F18)/MAX(F18-Z18,1),"-")</f>
        <v/>
      </c>
      <c r="AD18" s="153" t="inlineStr">
        <is>
          <t>Mensual. Vigilar inst. &gt;40%</t>
        </is>
      </c>
      <c r="AE18" s="158" t="inlineStr">
        <is>
          <t>[30may26] Revenue +35% YoY. Net income +59%. OCF swing $91.7M. ROIC 17%, EBITDA margin 55%. FRENO: Inst. 28.5% bajo umbral. Upside +15% insuficiente.</t>
        </is>
      </c>
    </row>
    <row r="19" ht="42" customHeight="1" s="72">
      <c r="A19" s="161" t="n">
        <v>13</v>
      </c>
      <c r="B19" s="162" t="inlineStr">
        <is>
          <t>GTY</t>
        </is>
      </c>
      <c r="C19" s="161" t="inlineStr">
        <is>
          <t>Getty Realty Corp</t>
        </is>
      </c>
      <c r="D19" s="161" t="inlineStr">
        <is>
          <t>Real Estate</t>
        </is>
      </c>
      <c r="E19" s="161" t="inlineStr">
        <is>
          <t>2026-05-30</t>
        </is>
      </c>
      <c r="F19" s="163" t="n">
        <v>32.4</v>
      </c>
      <c r="G19" s="163" t="n">
        <v>32.97</v>
      </c>
      <c r="H19" s="163" t="n">
        <v>29.31</v>
      </c>
      <c r="I19" s="164">
        <f>IF(G19&gt;H19,"✅ ALCISTA","❌ BAJISTA")</f>
        <v/>
      </c>
      <c r="J19" s="165" t="n">
        <v>0.801</v>
      </c>
      <c r="K19" s="161" t="n"/>
      <c r="L19" s="165" t="n">
        <v>0.089</v>
      </c>
      <c r="M19" s="165" t="n">
        <v>0.401</v>
      </c>
      <c r="N19" s="165" t="n">
        <v>0.063</v>
      </c>
      <c r="O19" s="166" t="n">
        <v>0.8100000000000001</v>
      </c>
      <c r="P19" s="161" t="n">
        <v>44</v>
      </c>
      <c r="Q19" s="165" t="n">
        <v>0.9360000000000001</v>
      </c>
      <c r="R19" s="165" t="n">
        <v>0.067</v>
      </c>
      <c r="S19" s="161" t="n"/>
      <c r="T19" s="167" t="inlineStr">
        <is>
          <t>—</t>
        </is>
      </c>
      <c r="U19" s="164" t="inlineStr">
        <is>
          <t>—</t>
        </is>
      </c>
      <c r="V19" s="164" t="inlineStr">
        <is>
          <t>—</t>
        </is>
      </c>
      <c r="W19" s="164">
        <f>IF(S19&gt;1,"✅ PASA",IF(S19&gt;0.5,"⚠ PARCIAL","❌ FALLA"))</f>
        <v/>
      </c>
      <c r="X19" s="164">
        <f>COUNTIF(T19:W19,"✅ PASA")+COUNTIF(T19:W19,"⚠ PARCIAL")*0.5</f>
        <v/>
      </c>
      <c r="Y19" s="168" t="inlineStr">
        <is>
          <t>🚫 ELIMINADO</t>
        </is>
      </c>
      <c r="Z19" s="164">
        <f>F19*0.93</f>
        <v/>
      </c>
      <c r="AA19" s="164">
        <f>F19*1.20</f>
        <v/>
      </c>
      <c r="AB19" s="169" t="n"/>
      <c r="AC19" s="164">
        <f>IF(F19-Z19&lt;&gt;0,(AA19-F19)/MAX(F19-Z19,1),"-")</f>
        <v/>
      </c>
      <c r="AD19" s="169" t="inlineStr">
        <is>
          <t>Sin revisión — REIT</t>
        </is>
      </c>
      <c r="AE19" s="170" t="inlineStr">
        <is>
          <t>[30may26] REIT — estructura incompatible con CAN SLIM. Upside analistas solo 6.7%. Dividendo alto pero no aplica metodología de crecimiento.</t>
        </is>
      </c>
    </row>
    <row r="20" ht="42" customHeight="1" s="72">
      <c r="A20" s="95" t="n">
        <v>14</v>
      </c>
      <c r="B20" s="94" t="inlineStr">
        <is>
          <t>DDI</t>
        </is>
      </c>
      <c r="C20" s="95" t="inlineStr">
        <is>
          <t>DoubleDown Interactive</t>
        </is>
      </c>
      <c r="D20" s="95" t="inlineStr">
        <is>
          <t>Communication</t>
        </is>
      </c>
      <c r="E20" s="95" t="inlineStr">
        <is>
          <t>2026-05-30</t>
        </is>
      </c>
      <c r="F20" s="133" t="n">
        <v>11.7</v>
      </c>
      <c r="G20" s="133" t="n">
        <v>10.03</v>
      </c>
      <c r="H20" s="133" t="n">
        <v>9.27</v>
      </c>
      <c r="I20" s="103">
        <f>IF(G20&gt;H20,"✅ ALCISTA","❌ BAJISTA")</f>
        <v/>
      </c>
      <c r="J20" s="96" t="n">
        <v>0.481</v>
      </c>
      <c r="K20" s="95" t="n"/>
      <c r="L20" s="96" t="n">
        <v>0.124</v>
      </c>
      <c r="M20" s="96" t="n">
        <v>0.308</v>
      </c>
      <c r="N20" s="96" t="n">
        <v>0.177</v>
      </c>
      <c r="O20" s="97" t="n">
        <v>0.04</v>
      </c>
      <c r="P20" s="95" t="n">
        <v>43</v>
      </c>
      <c r="Q20" s="96" t="n">
        <v>0.207</v>
      </c>
      <c r="R20" s="96" t="n">
        <v>0.406</v>
      </c>
      <c r="S20" s="95" t="n">
        <v>0.12</v>
      </c>
      <c r="T20" s="152" t="inlineStr">
        <is>
          <t>✅</t>
        </is>
      </c>
      <c r="U20" s="103" t="inlineStr">
        <is>
          <t>4/4</t>
        </is>
      </c>
      <c r="V20" s="103" t="inlineStr">
        <is>
          <t>1/3</t>
        </is>
      </c>
      <c r="W20" s="103">
        <f>IF(S20&gt;1,"✅ PASA",IF(S20&gt;0.5,"⚠ PARCIAL","❌ FALLA"))</f>
        <v/>
      </c>
      <c r="X20" s="103">
        <f>COUNTIF(T20:W20,"✅ PASA")+COUNTIF(T20:W20,"⚠ PARCIAL")*0.5</f>
        <v/>
      </c>
      <c r="Y20" s="171" t="inlineStr">
        <is>
          <t>👀 WATCHLIST #3</t>
        </is>
      </c>
      <c r="Z20" s="103">
        <f>F20*0.93</f>
        <v/>
      </c>
      <c r="AA20" s="103">
        <f>F20*1.20</f>
        <v/>
      </c>
      <c r="AB20" s="153" t="n"/>
      <c r="AC20" s="103">
        <f>IF(F20-Z20&lt;&gt;0,(AA20-F20)/MAX(F20-Z20,1),"-")</f>
        <v/>
      </c>
      <c r="AD20" s="153" t="inlineStr">
        <is>
          <t>Mensual. Monitorear takeover</t>
        </is>
      </c>
      <c r="AE20" s="158" t="inlineStr">
        <is>
          <t>[30may26] EPS +48% YoY. $500M net cash. P/E 4x bajo. RIESGO CRÍTICO: oferta no vinculante de adquisición por accionista controlador (squeeze-out minoritarios). Vol 123K ilíquido.</t>
        </is>
      </c>
    </row>
    <row r="21" ht="42" customHeight="1" s="72">
      <c r="A21" s="120" t="n">
        <v>15</v>
      </c>
      <c r="B21" s="121" t="inlineStr">
        <is>
          <t>PLGO</t>
        </is>
      </c>
      <c r="C21" s="120" t="inlineStr">
        <is>
          <t>PLGO Insurance</t>
        </is>
      </c>
      <c r="D21" s="120" t="inlineStr">
        <is>
          <t>Financial</t>
        </is>
      </c>
      <c r="E21" s="120" t="inlineStr">
        <is>
          <t>2026-05-30</t>
        </is>
      </c>
      <c r="F21" s="122" t="n">
        <v>21.58</v>
      </c>
      <c r="G21" s="122" t="n">
        <v>20.71</v>
      </c>
      <c r="H21" s="122" t="n">
        <v>18.97</v>
      </c>
      <c r="I21" s="154">
        <f>IF(G21&gt;H21,"✅ ALCISTA","❌ BAJISTA")</f>
        <v/>
      </c>
      <c r="J21" s="123" t="n">
        <v>3.541</v>
      </c>
      <c r="K21" s="120" t="n"/>
      <c r="L21" s="123" t="n">
        <v>0.162</v>
      </c>
      <c r="M21" s="123" t="n">
        <v>0.153</v>
      </c>
      <c r="N21" s="123" t="n">
        <v>0.456</v>
      </c>
      <c r="O21" s="124" t="n">
        <v>0.37</v>
      </c>
      <c r="P21" s="120" t="n">
        <v>47</v>
      </c>
      <c r="Q21" s="123" t="n">
        <v>0.8149999999999999</v>
      </c>
      <c r="R21" s="123" t="n">
        <v>0.107</v>
      </c>
      <c r="S21" s="120" t="n">
        <v>0.46</v>
      </c>
      <c r="T21" s="154" t="inlineStr">
        <is>
          <t>🚫</t>
        </is>
      </c>
      <c r="U21" s="154" t="inlineStr">
        <is>
          <t>3/4</t>
        </is>
      </c>
      <c r="V21" s="154" t="inlineStr">
        <is>
          <t>2/3</t>
        </is>
      </c>
      <c r="W21" s="154">
        <f>IF(S21&gt;1,"✅ PASA",IF(S21&gt;0.5,"⚠ PARCIAL","❌ FALLA"))</f>
        <v/>
      </c>
      <c r="X21" s="154">
        <f>COUNTIF(T21:W21,"✅ PASA")+COUNTIF(T21:W21,"⚠ PARCIAL")*0.5</f>
        <v/>
      </c>
      <c r="Y21" s="172" t="inlineStr">
        <is>
          <t>🚫 DESCARTAR</t>
        </is>
      </c>
      <c r="Z21" s="154">
        <f>F21*0.93</f>
        <v/>
      </c>
      <c r="AA21" s="154">
        <f>F21*1.20</f>
        <v/>
      </c>
      <c r="AB21" s="156" t="n"/>
      <c r="AC21" s="154">
        <f>IF(F21-Z21&lt;&gt;0,(AA21-F21)/MAX(F21-Z21,1),"-")</f>
        <v/>
      </c>
      <c r="AD21" s="156" t="inlineStr">
        <is>
          <t>Sin revisión activa</t>
        </is>
      </c>
      <c r="AE21" s="160" t="inlineStr">
        <is>
          <t>[30may26] Revenue Q1 -7.3% YoY. 4 revisiones EPS a la baja vs 1 al alza. Recuperación underwriting (combined ratio 115%→86%) no es crecimiento. F1 falla.</t>
        </is>
      </c>
    </row>
    <row r="22" ht="42" customHeight="1" s="72">
      <c r="A22" s="95" t="n">
        <v>16</v>
      </c>
      <c r="B22" s="94" t="inlineStr">
        <is>
          <t>OPRA</t>
        </is>
      </c>
      <c r="C22" s="95" t="inlineStr">
        <is>
          <t>Opera Limited</t>
        </is>
      </c>
      <c r="D22" s="95" t="inlineStr">
        <is>
          <t>Communication</t>
        </is>
      </c>
      <c r="E22" s="95" t="inlineStr">
        <is>
          <t>2026-05-30</t>
        </is>
      </c>
      <c r="F22" s="133" t="n">
        <v>18.78</v>
      </c>
      <c r="G22" s="133" t="n">
        <v>16.63</v>
      </c>
      <c r="H22" s="133" t="n">
        <v>15.3</v>
      </c>
      <c r="I22" s="103">
        <f>IF(G22&gt;H22,"✅ ALCISTA","❌ BAJISTA")</f>
        <v/>
      </c>
      <c r="J22" s="96" t="n">
        <v>0.356</v>
      </c>
      <c r="K22" s="95" t="n"/>
      <c r="L22" s="96" t="n">
        <v>0.12</v>
      </c>
      <c r="M22" s="96" t="n">
        <v>0.177</v>
      </c>
      <c r="N22" s="96" t="n">
        <v>0.076</v>
      </c>
      <c r="O22" s="97" t="n">
        <v>0.01</v>
      </c>
      <c r="P22" s="95" t="n">
        <v>38</v>
      </c>
      <c r="Q22" s="96" t="n">
        <v>0.168</v>
      </c>
      <c r="R22" s="96" t="n">
        <v>0.4</v>
      </c>
      <c r="S22" s="95" t="n">
        <v>0.52</v>
      </c>
      <c r="T22" s="103" t="inlineStr">
        <is>
          <t>⚠️</t>
        </is>
      </c>
      <c r="U22" s="103" t="inlineStr">
        <is>
          <t>4/4</t>
        </is>
      </c>
      <c r="V22" s="103" t="inlineStr">
        <is>
          <t>1/3</t>
        </is>
      </c>
      <c r="W22" s="103">
        <f>IF(S22&gt;1,"✅ PASA",IF(S22&gt;0.5,"⚠ PARCIAL","❌ FALLA"))</f>
        <v/>
      </c>
      <c r="X22" s="103">
        <f>COUNTIF(T22:W22,"✅ PASA")+COUNTIF(T22:W22,"⚠ PARCIAL")*0.5</f>
        <v/>
      </c>
      <c r="Y22" s="171" t="inlineStr">
        <is>
          <t>👀 WATCHLIST #4</t>
        </is>
      </c>
      <c r="Z22" s="103">
        <f>F22*0.93</f>
        <v/>
      </c>
      <c r="AA22" s="103">
        <f>F22*1.20</f>
        <v/>
      </c>
      <c r="AB22" s="153" t="n"/>
      <c r="AC22" s="103">
        <f>IF(F22-Z22&lt;&gt;0,(AA22-F22)/MAX(F22-Z22,1),"-")</f>
        <v/>
      </c>
      <c r="AD22" s="153" t="inlineStr">
        <is>
          <t>Q2 jul26. Vigilar rev &gt;25%</t>
        </is>
      </c>
      <c r="AE22" s="158" t="inlineStr">
        <is>
          <t>[30may26] Revenue +23% borderline (2pts bajo umbral). EPS +54% beat. 20T Rule of 40. Inst. 16.8% muy bajo. Guidance FY26 raised $727-740M. Cayman/Oslo descuento estructural.</t>
        </is>
      </c>
    </row>
    <row r="23" ht="15.75" customHeight="1" s="72">
      <c r="A23" s="95" t="n"/>
      <c r="B23" s="94" t="n"/>
      <c r="C23" s="95" t="n"/>
      <c r="D23" s="95" t="n"/>
      <c r="E23" s="95" t="n"/>
      <c r="F23" s="84" t="n"/>
      <c r="G23" s="84" t="n"/>
      <c r="H23" s="84" t="n"/>
      <c r="I23" s="103" t="n"/>
      <c r="J23" s="96" t="n"/>
      <c r="K23" s="95" t="n"/>
      <c r="L23" s="96" t="n"/>
      <c r="M23" s="96" t="n"/>
      <c r="N23" s="96" t="n"/>
      <c r="O23" s="97" t="n"/>
      <c r="P23" s="95" t="n"/>
      <c r="Q23" s="96" t="n"/>
      <c r="R23" s="96" t="n"/>
      <c r="S23" s="95" t="n"/>
      <c r="T23" s="103" t="n"/>
      <c r="U23" s="103" t="n"/>
      <c r="V23" s="103" t="n"/>
      <c r="W23" s="103" t="n"/>
      <c r="X23" s="103" t="n"/>
      <c r="Y23" s="103" t="n"/>
      <c r="Z23" s="103" t="n"/>
      <c r="AA23" s="103" t="n"/>
      <c r="AC23" s="103" t="n"/>
      <c r="AE23" s="95" t="n"/>
    </row>
    <row r="24" ht="22" customHeight="1" s="72">
      <c r="A24" s="114" t="inlineStr">
        <is>
          <t>📌 LEYENDA  |  🔵 Azul = INPUTS manuales  |  ⚫ Negro = Fórmulas  |  🟢 OPERAR ≥3.5/4  |  🟡 WATCHLIST 2.5–3/4  |  🔴 NO OPERAR &lt;2.5  |  🚫 DESCARTAR: Falla F1</t>
        </is>
      </c>
    </row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1">
    <mergeCell ref="A4:AE4"/>
    <mergeCell ref="T5:Y5"/>
    <mergeCell ref="J5:O5"/>
    <mergeCell ref="A2:AE2"/>
    <mergeCell ref="A24:AE24"/>
    <mergeCell ref="P5:R5"/>
    <mergeCell ref="A5:E5"/>
    <mergeCell ref="AD5:AE5"/>
    <mergeCell ref="F5:I5"/>
    <mergeCell ref="A3:AE3"/>
    <mergeCell ref="Z5:A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2C55E"/>
    <outlinePr summaryBelow="1" summaryRight="1"/>
    <pageSetUpPr/>
  </sheetPr>
  <dimension ref="A2:F24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2" min="1" max="1"/>
    <col width="28" customWidth="1" style="72" min="2" max="2"/>
    <col width="20" customWidth="1" style="72" min="3" max="4"/>
    <col width="45" customWidth="1" style="72" min="5" max="5"/>
    <col width="35" customWidth="1" style="72" min="6" max="6"/>
    <col width="8.710000000000001" customWidth="1" style="72" min="7" max="26"/>
  </cols>
  <sheetData>
    <row r="1" ht="12" customHeight="1" s="72"/>
    <row r="2" ht="43.5" customHeight="1" s="72">
      <c r="A2" s="104" t="inlineStr">
        <is>
          <t>METODOLOGÍA CAN SLIM — Guía de criterios y umbrales</t>
        </is>
      </c>
    </row>
    <row r="3" ht="15.75" customHeight="1" s="72">
      <c r="A3" s="74" t="inlineStr">
        <is>
          <t>Basado en el método de William O'Neil (INVESTOR'S BUSINESS DAILY). Adaptado con filtros operativos.</t>
        </is>
      </c>
    </row>
    <row r="4" ht="7.5" customHeight="1" s="72">
      <c r="A4" s="75" t="n"/>
    </row>
    <row r="5" ht="27.75" customHeight="1" s="72">
      <c r="A5" s="36" t="inlineStr">
        <is>
          <t>FILTRO</t>
        </is>
      </c>
      <c r="B5" s="36" t="inlineStr">
        <is>
          <t>CRITERIO (letra CAN SLIM)</t>
        </is>
      </c>
      <c r="C5" s="36" t="inlineStr">
        <is>
          <t>UMBRAL MÍNIMO</t>
        </is>
      </c>
      <c r="D5" s="36" t="inlineStr">
        <is>
          <t>PESO</t>
        </is>
      </c>
      <c r="E5" s="36" t="inlineStr">
        <is>
          <t>CÓMO VERIFICAR</t>
        </is>
      </c>
      <c r="F5" s="36" t="inlineStr">
        <is>
          <t>SEÑALES DE ALERTA</t>
        </is>
      </c>
    </row>
    <row r="6" ht="51.75" customHeight="1" s="72">
      <c r="A6" s="37" t="inlineStr">
        <is>
          <t>F1
(oblig.)</t>
        </is>
      </c>
      <c r="B6" s="38" t="inlineStr">
        <is>
          <t>C — Current Earnings
Ganancias trimestrales</t>
        </is>
      </c>
      <c r="C6" s="39" t="inlineStr">
        <is>
          <t>EPS YoY &gt;25%
Revenue YoY &gt;20%
Beats: ≥3/4 últimos</t>
        </is>
      </c>
      <c r="D6" s="40" t="inlineStr">
        <is>
          <t>ELIMINATORIO
Falla = descartar</t>
        </is>
      </c>
      <c r="E6" s="41" t="inlineStr">
        <is>
          <t>Yahoo Finance &gt; Earnings
Script: yfinance .quarterly_earnings
Fecha: día del reporte</t>
        </is>
      </c>
      <c r="F6" s="42" t="inlineStr">
        <is>
          <t>EPS desaceleración &gt;2 trim.
Ingresos &lt;20% 2 trim. seguidos
Miss consecutivos</t>
        </is>
      </c>
    </row>
    <row r="7" ht="51.75" customHeight="1" s="72">
      <c r="A7" s="37" t="inlineStr">
        <is>
          <t>F1
(oblig.)</t>
        </is>
      </c>
      <c r="B7" s="43" t="inlineStr">
        <is>
          <t>M — Market Direction
Dirección del mercado</t>
        </is>
      </c>
      <c r="C7" s="44" t="inlineStr">
        <is>
          <t>SMA50 &gt; SMA200
(precio sobre ambas)
Tendencia alcista</t>
        </is>
      </c>
      <c r="D7" s="40" t="inlineStr">
        <is>
          <t>ELIMINATORIO
Falla = descartar</t>
        </is>
      </c>
      <c r="E7" s="45" t="inlineStr">
        <is>
          <t>TradingView / yfinance
SMA50 y SMA200 del precio
RSI &gt;50 como apoyo</t>
        </is>
      </c>
      <c r="F7" s="42" t="inlineStr">
        <is>
          <t>Death Cross (SMA50 cruza bajo)
RS Rating &lt;50
Precio bajo SMA200 &gt;1 mes</t>
        </is>
      </c>
    </row>
    <row r="8" ht="51.75" customHeight="1" s="72">
      <c r="A8" s="46" t="inlineStr">
        <is>
          <t>F2</t>
        </is>
      </c>
      <c r="B8" s="38" t="inlineStr">
        <is>
          <t>A — Annual Earnings
Ganancias anuales</t>
        </is>
      </c>
      <c r="C8" s="39" t="inlineStr">
        <is>
          <t>EPS CAGR 3–5Y &gt;15%
Crecimiento consistente
Sin pérdidas en últimos 3Y</t>
        </is>
      </c>
      <c r="D8" s="40" t="inlineStr">
        <is>
          <t>1/4 del score F2</t>
        </is>
      </c>
      <c r="E8" s="41" t="inlineStr">
        <is>
          <t>Macrotrends.net / Stockanalysis
EPS histórico 5 años
CAGR calculado</t>
        </is>
      </c>
      <c r="F8" s="42" t="inlineStr">
        <is>
          <t>EPS CAGR &lt;10%
Pérdida en algún año
Desaceleración anual</t>
        </is>
      </c>
    </row>
    <row r="9" ht="51.75" customHeight="1" s="72">
      <c r="A9" s="46" t="inlineStr">
        <is>
          <t>F2</t>
        </is>
      </c>
      <c r="B9" s="43" t="inlineStr">
        <is>
          <t>N — New (producto/catalizador)
Nuevo</t>
        </is>
      </c>
      <c r="C9" s="44" t="inlineStr">
        <is>
          <t>Lanzamiento producto/IA
Expansión mercado nuevo
Cambio modelo negocio</t>
        </is>
      </c>
      <c r="D9" s="40" t="inlineStr">
        <is>
          <t>1/4 del score F2</t>
        </is>
      </c>
      <c r="E9" s="45" t="inlineStr">
        <is>
          <t>Press releases / IR
Earnings call transcripts
10-K sección de estrategia</t>
        </is>
      </c>
      <c r="F9" s="42" t="inlineStr">
        <is>
          <t>Sin novedades &gt;2 años
Competidor con ventaja
Regulación adversa</t>
        </is>
      </c>
    </row>
    <row r="10" ht="51.75" customHeight="1" s="72">
      <c r="A10" s="46" t="inlineStr">
        <is>
          <t>F2</t>
        </is>
      </c>
      <c r="B10" s="47" t="inlineStr">
        <is>
          <t>ROIC/ROE
Calidad del negocio</t>
        </is>
      </c>
      <c r="C10" s="48" t="inlineStr">
        <is>
          <t>ROE &gt;15%
ROIC &gt;12%
Net Margin &gt;10%</t>
        </is>
      </c>
      <c r="D10" s="40" t="inlineStr">
        <is>
          <t>1/4 del score F2</t>
        </is>
      </c>
      <c r="E10" s="49" t="inlineStr">
        <is>
          <t>Macrotrends / GuruFocus
ROE, ROIC, márgenes
Comparar con sector</t>
        </is>
      </c>
      <c r="F10" s="42" t="inlineStr">
        <is>
          <t>ROE &lt;10% sin mejora
Márgenes comprimidos
Alta SBC distorsiona ROE</t>
        </is>
      </c>
    </row>
    <row r="11" ht="51.75" customHeight="1" s="72">
      <c r="A11" s="46" t="inlineStr">
        <is>
          <t>F2</t>
        </is>
      </c>
      <c r="B11" s="43" t="inlineStr">
        <is>
          <t>FCF / Deuda
Salud financiera</t>
        </is>
      </c>
      <c r="C11" s="44" t="inlineStr">
        <is>
          <t>FCF Yield &gt;3%
O FCF/NI &gt;80%
Debt/Equity &lt;1</t>
        </is>
      </c>
      <c r="D11" s="40" t="inlineStr">
        <is>
          <t>1/4 del score F2</t>
        </is>
      </c>
      <c r="E11" s="45" t="inlineStr">
        <is>
          <t>Stockanalysis.com
Cash Flow Statement
Debt to Equity ratio</t>
        </is>
      </c>
      <c r="F11" s="42" t="inlineStr">
        <is>
          <t>FCF negativo &gt;1 año
Deuda creciente sin EBITDA
Capex &gt;100% FCF</t>
        </is>
      </c>
    </row>
    <row r="12" ht="51.75" customHeight="1" s="72">
      <c r="A12" s="50" t="inlineStr">
        <is>
          <t>F3</t>
        </is>
      </c>
      <c r="B12" s="38" t="inlineStr">
        <is>
          <t>S — Supply &amp; Demand
Demanda institucional</t>
        </is>
      </c>
      <c r="C12" s="39" t="inlineStr">
        <is>
          <t>Inst. Ownership &gt;40%
Compra neta reciente
Float reducido positivo</t>
        </is>
      </c>
      <c r="D12" s="40" t="inlineStr">
        <is>
          <t>1/3 del score F3</t>
        </is>
      </c>
      <c r="E12" s="41" t="inlineStr">
        <is>
          <t>Yahoo Finance &gt; Holders
Whalewisdom.com
13F filings SEC</t>
        </is>
      </c>
      <c r="F12" s="42" t="inlineStr">
        <is>
          <t>Venta neta institucional
Ownership cayendo &gt;2 trim.
Hedge funds saliendo</t>
        </is>
      </c>
    </row>
    <row r="13" ht="51.75" customHeight="1" s="72">
      <c r="A13" s="50" t="inlineStr">
        <is>
          <t>F3</t>
        </is>
      </c>
      <c r="B13" s="43" t="inlineStr">
        <is>
          <t>L — Leader or Laggard
RS Rating</t>
        </is>
      </c>
      <c r="C13" s="44" t="inlineStr">
        <is>
          <t>RS Rating &gt;80
Retorno 1Y vs SPY &gt;0
Top 20% del sector</t>
        </is>
      </c>
      <c r="D13" s="40" t="inlineStr">
        <is>
          <t>1/3 del score F3</t>
        </is>
      </c>
      <c r="E13" s="45" t="inlineStr">
        <is>
          <t>IBD RS Rating (pago)
Proxy: retorno 1Y vs SPY
Comparar peers sector</t>
        </is>
      </c>
      <c r="F13" s="42" t="inlineStr">
        <is>
          <t>RS Rating &lt;50
Underperform sector &gt;6m
Nuevos máximos vs mínimos</t>
        </is>
      </c>
    </row>
    <row r="14" ht="51.75" customHeight="1" s="72">
      <c r="A14" s="50" t="inlineStr">
        <is>
          <t>F3</t>
        </is>
      </c>
      <c r="B14" s="38" t="inlineStr">
        <is>
          <t>I — Institutional Sponsorship
Patrocinio inst.</t>
        </is>
      </c>
      <c r="C14" s="39" t="inlineStr">
        <is>
          <t>Target analistas &gt;30% upside
≥5 analistas cubriendo
Buy consensus</t>
        </is>
      </c>
      <c r="D14" s="40" t="inlineStr">
        <is>
          <t>1/3 del score F3</t>
        </is>
      </c>
      <c r="E14" s="41" t="inlineStr">
        <is>
          <t>Yahoo Finance &gt; Analysis
SeekingAlpha / Tipranks
Consensus price target</t>
        </is>
      </c>
      <c r="F14" s="42" t="inlineStr">
        <is>
          <t>Rebajas consecutivas
Price target bajando
Analistas sin cobertura</t>
        </is>
      </c>
    </row>
    <row r="15" ht="51.75" customHeight="1" s="72">
      <c r="A15" s="12" t="inlineStr">
        <is>
          <t>F4</t>
        </is>
      </c>
      <c r="B15" s="43" t="inlineStr">
        <is>
          <t>Volumen y liquidez
Confirmación</t>
        </is>
      </c>
      <c r="C15" s="44" t="inlineStr">
        <is>
          <t>Avg Vol 20d &gt;1M acciones
Vol hoy &gt;500K
Breakout con vol &gt;150% avg</t>
        </is>
      </c>
      <c r="D15" s="40" t="inlineStr">
        <is>
          <t>Confirmación técnica</t>
        </is>
      </c>
      <c r="E15" s="45" t="inlineStr">
        <is>
          <t>Yahoo Finance &gt; Statistics
TradingView volume bars
Comparar 20d vs 50d avg</t>
        </is>
      </c>
      <c r="F15" s="42" t="inlineStr">
        <is>
          <t>Vol seco en rally
Liquidity gap amplio
Spread bid-ask &gt;1%</t>
        </is>
      </c>
    </row>
    <row r="17" ht="30" customHeight="1" s="72">
      <c r="A17" s="105" t="inlineStr">
        <is>
          <t>PROCESO DE SELECCIÓN — Flujo de decisión paso a paso</t>
        </is>
      </c>
    </row>
    <row r="18" ht="45.75" customHeight="1" s="72">
      <c r="A18" s="52" t="inlineStr">
        <is>
          <t>PASO 1</t>
        </is>
      </c>
      <c r="B18" s="53" t="inlineStr">
        <is>
          <t>SCREENER INICIAL</t>
        </is>
      </c>
      <c r="C18" s="106" t="inlineStr">
        <is>
          <t>Filtrar universo de acciones con revenue &gt;20% YoY y EPS creciente. Herramientas: Finviz, Yahoo Finance Screener, TradingView. Objetivo: reducir de miles a 20–50 candidatos.</t>
        </is>
      </c>
      <c r="D18" s="76" t="n"/>
      <c r="E18" s="76" t="n"/>
      <c r="F18" s="77" t="n"/>
    </row>
    <row r="19" ht="45.75" customHeight="1" s="72">
      <c r="A19" s="55" t="inlineStr">
        <is>
          <t>PASO 2</t>
        </is>
      </c>
      <c r="B19" s="56" t="inlineStr">
        <is>
          <t>FILTRO F1 — OBLIGATORIO (técnico + C)</t>
        </is>
      </c>
      <c r="C19" s="107" t="inlineStr">
        <is>
          <t>Verificar SMA50&gt;SMA200 Y revenue &gt;20%. Si FALLA cualquiera → DESCARTAR inmediatamente. Este paso elimina acciones en tendencia bajista sin importar los fundamentos.</t>
        </is>
      </c>
      <c r="D19" s="76" t="n"/>
      <c r="E19" s="76" t="n"/>
      <c r="F19" s="77" t="n"/>
    </row>
    <row r="20" ht="45.75" customHeight="1" s="72">
      <c r="A20" s="52" t="inlineStr">
        <is>
          <t>PASO 3</t>
        </is>
      </c>
      <c r="B20" s="53" t="inlineStr">
        <is>
          <t>FILTRO F2 — CALIDAD (A, N, ROE, FCF)</t>
        </is>
      </c>
      <c r="C20" s="106" t="inlineStr">
        <is>
          <t>Evaluar los 4 sub-criterios. Necesitas ≥3/4 para continuar. Si score &lt;2/4 → no operar. Buscar negocios con ventaja competitiva real.</t>
        </is>
      </c>
      <c r="D20" s="76" t="n"/>
      <c r="E20" s="76" t="n"/>
      <c r="F20" s="77" t="n"/>
    </row>
    <row r="21" ht="45.75" customHeight="1" s="72">
      <c r="A21" s="55" t="inlineStr">
        <is>
          <t>PASO 4</t>
        </is>
      </c>
      <c r="B21" s="56" t="inlineStr">
        <is>
          <t>FILTRO F3 — INSTITUCIONAL (S, L, I)</t>
        </is>
      </c>
      <c r="C21" s="107" t="inlineStr">
        <is>
          <t>RS Rating &gt;80 es crítico. Verifica ownership institucional &gt;40% y upside analistas &gt;30%. El dinero institucional mueve los precios — seguirlo es clave.</t>
        </is>
      </c>
      <c r="D21" s="76" t="n"/>
      <c r="E21" s="76" t="n"/>
      <c r="F21" s="77" t="n"/>
    </row>
    <row r="22" ht="45.75" customHeight="1" s="72">
      <c r="A22" s="52" t="inlineStr">
        <is>
          <t>PASO 5</t>
        </is>
      </c>
      <c r="B22" s="53" t="inlineStr">
        <is>
          <t>FILTRO F4 — VOLUMEN</t>
        </is>
      </c>
      <c r="C22" s="106" t="inlineStr">
        <is>
          <t>Confirmar liquidez mínima (&gt;1M acc/día). En breakout, el volumen debe ser &gt;150% del promedio. Sin volumen, el breakout falla estadísticamente.</t>
        </is>
      </c>
      <c r="D22" s="76" t="n"/>
      <c r="E22" s="76" t="n"/>
      <c r="F22" s="77" t="n"/>
    </row>
    <row r="23" ht="45.75" customHeight="1" s="72">
      <c r="A23" s="55" t="inlineStr">
        <is>
          <t>PASO 6</t>
        </is>
      </c>
      <c r="B23" s="56" t="inlineStr">
        <is>
          <t>SIZING Y ENTRADA</t>
        </is>
      </c>
      <c r="C23" s="107" t="inlineStr">
        <is>
          <t>Riesgo máx 2% capital por operación. Stop loss: -7% desde entrada. Entrar en 2–3 tramos. Primer tramo al breakout con volumen. Target 1: +20%. Target 2: precio analistas. Calcular R/R mínimo 2:1.</t>
        </is>
      </c>
      <c r="D23" s="76" t="n"/>
      <c r="E23" s="76" t="n"/>
      <c r="F23" s="77" t="n"/>
    </row>
    <row r="24" ht="45.75" customHeight="1" s="72">
      <c r="A24" s="52" t="inlineStr">
        <is>
          <t>PASO 7</t>
        </is>
      </c>
      <c r="B24" s="53" t="inlineStr">
        <is>
          <t>SEGUIMIENTO SEMANAL</t>
        </is>
      </c>
      <c r="C24" s="106" t="inlineStr">
        <is>
          <t>Revisar cada lunes: ¿sigue SMA50&gt;SMA200?, ¿RS Rating mantiene &gt;80?, ¿earnings próximos? Si algún criterio F1 falla → cerrar posición. Registrar en columna Notas y actualizar Próxima Revisión.</t>
        </is>
      </c>
      <c r="D24" s="76" t="n"/>
      <c r="E24" s="76" t="n"/>
      <c r="F24" s="77" t="n"/>
    </row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1">
    <mergeCell ref="C22:F22"/>
    <mergeCell ref="A2:F2"/>
    <mergeCell ref="C18:F18"/>
    <mergeCell ref="C23:F23"/>
    <mergeCell ref="C20:F20"/>
    <mergeCell ref="C21:F21"/>
    <mergeCell ref="A17:F17"/>
    <mergeCell ref="A4:F4"/>
    <mergeCell ref="A3:F3"/>
    <mergeCell ref="C19:F19"/>
    <mergeCell ref="C24:F2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EAB308"/>
    <outlinePr summaryBelow="1" summaryRight="1"/>
    <pageSetUpPr/>
  </sheetPr>
  <dimension ref="A2:N27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72" min="1" max="1"/>
    <col width="10" customWidth="1" style="72" min="2" max="2"/>
    <col width="12" customWidth="1" style="72" min="3" max="12"/>
    <col width="10" customWidth="1" style="72" min="13" max="13"/>
    <col width="18" customWidth="1" style="72" min="14" max="14"/>
    <col width="8.710000000000001" customWidth="1" style="72" min="15" max="26"/>
  </cols>
  <sheetData>
    <row r="1" ht="12" customHeight="1" s="72"/>
    <row r="2" ht="39.75" customHeight="1" s="72">
      <c r="A2" s="108" t="inlineStr">
        <is>
          <t>HISTORIAL DE OPERACIONES — Seguimiento de trades ejecutados</t>
        </is>
      </c>
    </row>
    <row r="3" ht="7.5" customHeight="1" s="72">
      <c r="A3" s="75" t="n"/>
    </row>
    <row r="4" ht="31.5" customHeight="1" s="72">
      <c r="A4" s="59" t="inlineStr">
        <is>
          <t>N°</t>
        </is>
      </c>
      <c r="B4" s="59" t="inlineStr">
        <is>
          <t>TICKER</t>
        </is>
      </c>
      <c r="C4" s="59" t="inlineStr">
        <is>
          <t>FECHA
ENTRADA</t>
        </is>
      </c>
      <c r="D4" s="59" t="inlineStr">
        <is>
          <t>PRECIO
ENTRADA</t>
        </is>
      </c>
      <c r="E4" s="59" t="inlineStr">
        <is>
          <t>ACCIONES</t>
        </is>
      </c>
      <c r="F4" s="59" t="inlineStr">
        <is>
          <t>CAPITAL
USADO</t>
        </is>
      </c>
      <c r="G4" s="59" t="inlineStr">
        <is>
          <t>STOP
LOSS</t>
        </is>
      </c>
      <c r="H4" s="59" t="inlineStr">
        <is>
          <t>TARGET 1</t>
        </is>
      </c>
      <c r="I4" s="59" t="inlineStr">
        <is>
          <t>TARGET 2</t>
        </is>
      </c>
      <c r="J4" s="59" t="inlineStr">
        <is>
          <t>FECHA
SALIDA</t>
        </is>
      </c>
      <c r="K4" s="59" t="inlineStr">
        <is>
          <t>PRECIO
SALIDA</t>
        </is>
      </c>
      <c r="L4" s="59" t="inlineStr">
        <is>
          <t>P&amp;L ($)</t>
        </is>
      </c>
      <c r="M4" s="59" t="inlineStr">
        <is>
          <t>P&amp;L (%)</t>
        </is>
      </c>
      <c r="N4" s="59" t="inlineStr">
        <is>
          <t>RAZÓN SALIDA</t>
        </is>
      </c>
    </row>
    <row r="5" ht="19.5" customHeight="1" s="72">
      <c r="A5" s="60" t="n"/>
      <c r="B5" s="61" t="n"/>
      <c r="C5" s="60" t="n"/>
      <c r="D5" s="60" t="n"/>
      <c r="E5" s="60" t="n"/>
      <c r="F5" s="62">
        <f>IF(D5&lt;&gt;"",D5*E5,"")</f>
        <v/>
      </c>
      <c r="G5" s="62">
        <f>IF(D5&lt;&gt;"",D5*0.93,"")</f>
        <v/>
      </c>
      <c r="H5" s="62">
        <f>IF(D5&lt;&gt;"",D5*1.2,"")</f>
        <v/>
      </c>
      <c r="I5" s="60" t="n"/>
      <c r="J5" s="60" t="n"/>
      <c r="K5" s="60" t="n"/>
      <c r="L5" s="63">
        <f>IF(K5&lt;&gt;"",(K5-D5)*E5,"")</f>
        <v/>
      </c>
      <c r="M5" s="64">
        <f>IF(K5&lt;&gt;"",(K5-D5)/D5,"")</f>
        <v/>
      </c>
      <c r="N5" s="60" t="n"/>
    </row>
    <row r="6" ht="19.5" customHeight="1" s="72">
      <c r="A6" s="65" t="n"/>
      <c r="B6" s="66" t="n"/>
      <c r="C6" s="65" t="n"/>
      <c r="D6" s="65" t="n"/>
      <c r="E6" s="65" t="n"/>
      <c r="F6" s="67">
        <f>IF(D6&lt;&gt;"",D6*E6,"")</f>
        <v/>
      </c>
      <c r="G6" s="67">
        <f>IF(D6&lt;&gt;"",D6*0.93,"")</f>
        <v/>
      </c>
      <c r="H6" s="67">
        <f>IF(D6&lt;&gt;"",D6*1.2,"")</f>
        <v/>
      </c>
      <c r="I6" s="65" t="n"/>
      <c r="J6" s="65" t="n"/>
      <c r="K6" s="65" t="n"/>
      <c r="L6" s="68">
        <f>IF(K6&lt;&gt;"",(K6-D6)*E6,"")</f>
        <v/>
      </c>
      <c r="M6" s="69">
        <f>IF(K6&lt;&gt;"",(K6-D6)/D6,"")</f>
        <v/>
      </c>
      <c r="N6" s="65" t="n"/>
    </row>
    <row r="7" ht="19.5" customHeight="1" s="72">
      <c r="A7" s="60" t="n"/>
      <c r="B7" s="61" t="n"/>
      <c r="C7" s="60" t="n"/>
      <c r="D7" s="60" t="n"/>
      <c r="E7" s="60" t="n"/>
      <c r="F7" s="62">
        <f>IF(D7&lt;&gt;"",D7*E7,"")</f>
        <v/>
      </c>
      <c r="G7" s="62">
        <f>IF(D7&lt;&gt;"",D7*0.93,"")</f>
        <v/>
      </c>
      <c r="H7" s="62">
        <f>IF(D7&lt;&gt;"",D7*1.2,"")</f>
        <v/>
      </c>
      <c r="I7" s="60" t="n"/>
      <c r="J7" s="60" t="n"/>
      <c r="K7" s="60" t="n"/>
      <c r="L7" s="63">
        <f>IF(K7&lt;&gt;"",(K7-D7)*E7,"")</f>
        <v/>
      </c>
      <c r="M7" s="64">
        <f>IF(K7&lt;&gt;"",(K7-D7)/D7,"")</f>
        <v/>
      </c>
      <c r="N7" s="60" t="n"/>
    </row>
    <row r="8" ht="19.5" customHeight="1" s="72">
      <c r="A8" s="65" t="n"/>
      <c r="B8" s="66" t="n"/>
      <c r="C8" s="65" t="n"/>
      <c r="D8" s="65" t="n"/>
      <c r="E8" s="65" t="n"/>
      <c r="F8" s="67">
        <f>IF(D8&lt;&gt;"",D8*E8,"")</f>
        <v/>
      </c>
      <c r="G8" s="67">
        <f>IF(D8&lt;&gt;"",D8*0.93,"")</f>
        <v/>
      </c>
      <c r="H8" s="67">
        <f>IF(D8&lt;&gt;"",D8*1.2,"")</f>
        <v/>
      </c>
      <c r="I8" s="65" t="n"/>
      <c r="J8" s="65" t="n"/>
      <c r="K8" s="65" t="n"/>
      <c r="L8" s="68">
        <f>IF(K8&lt;&gt;"",(K8-D8)*E8,"")</f>
        <v/>
      </c>
      <c r="M8" s="69">
        <f>IF(K8&lt;&gt;"",(K8-D8)/D8,"")</f>
        <v/>
      </c>
      <c r="N8" s="65" t="n"/>
    </row>
    <row r="9" ht="19.5" customHeight="1" s="72">
      <c r="A9" s="60" t="n"/>
      <c r="B9" s="61" t="n"/>
      <c r="C9" s="60" t="n"/>
      <c r="D9" s="60" t="n"/>
      <c r="E9" s="60" t="n"/>
      <c r="F9" s="62">
        <f>IF(D9&lt;&gt;"",D9*E9,"")</f>
        <v/>
      </c>
      <c r="G9" s="62">
        <f>IF(D9&lt;&gt;"",D9*0.93,"")</f>
        <v/>
      </c>
      <c r="H9" s="62">
        <f>IF(D9&lt;&gt;"",D9*1.2,"")</f>
        <v/>
      </c>
      <c r="I9" s="60" t="n"/>
      <c r="J9" s="60" t="n"/>
      <c r="K9" s="60" t="n"/>
      <c r="L9" s="63">
        <f>IF(K9&lt;&gt;"",(K9-D9)*E9,"")</f>
        <v/>
      </c>
      <c r="M9" s="64">
        <f>IF(K9&lt;&gt;"",(K9-D9)/D9,"")</f>
        <v/>
      </c>
      <c r="N9" s="60" t="n"/>
    </row>
    <row r="10" ht="19.5" customHeight="1" s="72">
      <c r="A10" s="65" t="n"/>
      <c r="B10" s="66" t="n"/>
      <c r="C10" s="65" t="n"/>
      <c r="D10" s="65" t="n"/>
      <c r="E10" s="65" t="n"/>
      <c r="F10" s="67">
        <f>IF(D10&lt;&gt;"",D10*E10,"")</f>
        <v/>
      </c>
      <c r="G10" s="67">
        <f>IF(D10&lt;&gt;"",D10*0.93,"")</f>
        <v/>
      </c>
      <c r="H10" s="67">
        <f>IF(D10&lt;&gt;"",D10*1.2,"")</f>
        <v/>
      </c>
      <c r="I10" s="65" t="n"/>
      <c r="J10" s="65" t="n"/>
      <c r="K10" s="65" t="n"/>
      <c r="L10" s="68">
        <f>IF(K10&lt;&gt;"",(K10-D10)*E10,"")</f>
        <v/>
      </c>
      <c r="M10" s="69">
        <f>IF(K10&lt;&gt;"",(K10-D10)/D10,"")</f>
        <v/>
      </c>
      <c r="N10" s="65" t="n"/>
    </row>
    <row r="11" ht="19.5" customHeight="1" s="72">
      <c r="A11" s="60" t="n"/>
      <c r="B11" s="61" t="n"/>
      <c r="C11" s="60" t="n"/>
      <c r="D11" s="60" t="n"/>
      <c r="E11" s="60" t="n"/>
      <c r="F11" s="62">
        <f>IF(D11&lt;&gt;"",D11*E11,"")</f>
        <v/>
      </c>
      <c r="G11" s="62">
        <f>IF(D11&lt;&gt;"",D11*0.93,"")</f>
        <v/>
      </c>
      <c r="H11" s="62">
        <f>IF(D11&lt;&gt;"",D11*1.2,"")</f>
        <v/>
      </c>
      <c r="I11" s="60" t="n"/>
      <c r="J11" s="60" t="n"/>
      <c r="K11" s="60" t="n"/>
      <c r="L11" s="63">
        <f>IF(K11&lt;&gt;"",(K11-D11)*E11,"")</f>
        <v/>
      </c>
      <c r="M11" s="64">
        <f>IF(K11&lt;&gt;"",(K11-D11)/D11,"")</f>
        <v/>
      </c>
      <c r="N11" s="60" t="n"/>
    </row>
    <row r="12" ht="19.5" customHeight="1" s="72">
      <c r="A12" s="65" t="n"/>
      <c r="B12" s="66" t="n"/>
      <c r="C12" s="65" t="n"/>
      <c r="D12" s="65" t="n"/>
      <c r="E12" s="65" t="n"/>
      <c r="F12" s="67">
        <f>IF(D12&lt;&gt;"",D12*E12,"")</f>
        <v/>
      </c>
      <c r="G12" s="67">
        <f>IF(D12&lt;&gt;"",D12*0.93,"")</f>
        <v/>
      </c>
      <c r="H12" s="67">
        <f>IF(D12&lt;&gt;"",D12*1.2,"")</f>
        <v/>
      </c>
      <c r="I12" s="65" t="n"/>
      <c r="J12" s="65" t="n"/>
      <c r="K12" s="65" t="n"/>
      <c r="L12" s="68">
        <f>IF(K12&lt;&gt;"",(K12-D12)*E12,"")</f>
        <v/>
      </c>
      <c r="M12" s="69">
        <f>IF(K12&lt;&gt;"",(K12-D12)/D12,"")</f>
        <v/>
      </c>
      <c r="N12" s="65" t="n"/>
    </row>
    <row r="13" ht="19.5" customHeight="1" s="72">
      <c r="A13" s="60" t="n"/>
      <c r="B13" s="61" t="n"/>
      <c r="C13" s="60" t="n"/>
      <c r="D13" s="60" t="n"/>
      <c r="E13" s="60" t="n"/>
      <c r="F13" s="62">
        <f>IF(D13&lt;&gt;"",D13*E13,"")</f>
        <v/>
      </c>
      <c r="G13" s="62">
        <f>IF(D13&lt;&gt;"",D13*0.93,"")</f>
        <v/>
      </c>
      <c r="H13" s="62">
        <f>IF(D13&lt;&gt;"",D13*1.2,"")</f>
        <v/>
      </c>
      <c r="I13" s="60" t="n"/>
      <c r="J13" s="60" t="n"/>
      <c r="K13" s="60" t="n"/>
      <c r="L13" s="63">
        <f>IF(K13&lt;&gt;"",(K13-D13)*E13,"")</f>
        <v/>
      </c>
      <c r="M13" s="64">
        <f>IF(K13&lt;&gt;"",(K13-D13)/D13,"")</f>
        <v/>
      </c>
      <c r="N13" s="60" t="n"/>
    </row>
    <row r="14" ht="19.5" customHeight="1" s="72">
      <c r="A14" s="65" t="n"/>
      <c r="B14" s="66" t="n"/>
      <c r="C14" s="65" t="n"/>
      <c r="D14" s="65" t="n"/>
      <c r="E14" s="65" t="n"/>
      <c r="F14" s="67">
        <f>IF(D14&lt;&gt;"",D14*E14,"")</f>
        <v/>
      </c>
      <c r="G14" s="67">
        <f>IF(D14&lt;&gt;"",D14*0.93,"")</f>
        <v/>
      </c>
      <c r="H14" s="67">
        <f>IF(D14&lt;&gt;"",D14*1.2,"")</f>
        <v/>
      </c>
      <c r="I14" s="65" t="n"/>
      <c r="J14" s="65" t="n"/>
      <c r="K14" s="65" t="n"/>
      <c r="L14" s="68">
        <f>IF(K14&lt;&gt;"",(K14-D14)*E14,"")</f>
        <v/>
      </c>
      <c r="M14" s="69">
        <f>IF(K14&lt;&gt;"",(K14-D14)/D14,"")</f>
        <v/>
      </c>
      <c r="N14" s="65" t="n"/>
    </row>
    <row r="15" ht="19.5" customHeight="1" s="72">
      <c r="A15" s="60" t="n"/>
      <c r="B15" s="61" t="n"/>
      <c r="C15" s="60" t="n"/>
      <c r="D15" s="60" t="n"/>
      <c r="E15" s="60" t="n"/>
      <c r="F15" s="62">
        <f>IF(D15&lt;&gt;"",D15*E15,"")</f>
        <v/>
      </c>
      <c r="G15" s="62">
        <f>IF(D15&lt;&gt;"",D15*0.93,"")</f>
        <v/>
      </c>
      <c r="H15" s="62">
        <f>IF(D15&lt;&gt;"",D15*1.2,"")</f>
        <v/>
      </c>
      <c r="I15" s="60" t="n"/>
      <c r="J15" s="60" t="n"/>
      <c r="K15" s="60" t="n"/>
      <c r="L15" s="63">
        <f>IF(K15&lt;&gt;"",(K15-D15)*E15,"")</f>
        <v/>
      </c>
      <c r="M15" s="64">
        <f>IF(K15&lt;&gt;"",(K15-D15)/D15,"")</f>
        <v/>
      </c>
      <c r="N15" s="60" t="n"/>
    </row>
    <row r="16" ht="19.5" customHeight="1" s="72">
      <c r="A16" s="65" t="n"/>
      <c r="B16" s="66" t="n"/>
      <c r="C16" s="65" t="n"/>
      <c r="D16" s="65" t="n"/>
      <c r="E16" s="65" t="n"/>
      <c r="F16" s="67">
        <f>IF(D16&lt;&gt;"",D16*E16,"")</f>
        <v/>
      </c>
      <c r="G16" s="67">
        <f>IF(D16&lt;&gt;"",D16*0.93,"")</f>
        <v/>
      </c>
      <c r="H16" s="67">
        <f>IF(D16&lt;&gt;"",D16*1.2,"")</f>
        <v/>
      </c>
      <c r="I16" s="65" t="n"/>
      <c r="J16" s="65" t="n"/>
      <c r="K16" s="65" t="n"/>
      <c r="L16" s="68">
        <f>IF(K16&lt;&gt;"",(K16-D16)*E16,"")</f>
        <v/>
      </c>
      <c r="M16" s="69">
        <f>IF(K16&lt;&gt;"",(K16-D16)/D16,"")</f>
        <v/>
      </c>
      <c r="N16" s="65" t="n"/>
    </row>
    <row r="17" ht="19.5" customHeight="1" s="72">
      <c r="A17" s="60" t="n"/>
      <c r="B17" s="61" t="n"/>
      <c r="C17" s="60" t="n"/>
      <c r="D17" s="60" t="n"/>
      <c r="E17" s="60" t="n"/>
      <c r="F17" s="62">
        <f>IF(D17&lt;&gt;"",D17*E17,"")</f>
        <v/>
      </c>
      <c r="G17" s="62">
        <f>IF(D17&lt;&gt;"",D17*0.93,"")</f>
        <v/>
      </c>
      <c r="H17" s="62">
        <f>IF(D17&lt;&gt;"",D17*1.2,"")</f>
        <v/>
      </c>
      <c r="I17" s="60" t="n"/>
      <c r="J17" s="60" t="n"/>
      <c r="K17" s="60" t="n"/>
      <c r="L17" s="63">
        <f>IF(K17&lt;&gt;"",(K17-D17)*E17,"")</f>
        <v/>
      </c>
      <c r="M17" s="64">
        <f>IF(K17&lt;&gt;"",(K17-D17)/D17,"")</f>
        <v/>
      </c>
      <c r="N17" s="60" t="n"/>
    </row>
    <row r="18" ht="19.5" customHeight="1" s="72">
      <c r="A18" s="65" t="n"/>
      <c r="B18" s="66" t="n"/>
      <c r="C18" s="65" t="n"/>
      <c r="D18" s="65" t="n"/>
      <c r="E18" s="65" t="n"/>
      <c r="F18" s="67">
        <f>IF(D18&lt;&gt;"",D18*E18,"")</f>
        <v/>
      </c>
      <c r="G18" s="67">
        <f>IF(D18&lt;&gt;"",D18*0.93,"")</f>
        <v/>
      </c>
      <c r="H18" s="67">
        <f>IF(D18&lt;&gt;"",D18*1.2,"")</f>
        <v/>
      </c>
      <c r="I18" s="65" t="n"/>
      <c r="J18" s="65" t="n"/>
      <c r="K18" s="65" t="n"/>
      <c r="L18" s="68">
        <f>IF(K18&lt;&gt;"",(K18-D18)*E18,"")</f>
        <v/>
      </c>
      <c r="M18" s="69">
        <f>IF(K18&lt;&gt;"",(K18-D18)/D18,"")</f>
        <v/>
      </c>
      <c r="N18" s="65" t="n"/>
    </row>
    <row r="19" ht="19.5" customHeight="1" s="72">
      <c r="A19" s="60" t="n"/>
      <c r="B19" s="61" t="n"/>
      <c r="C19" s="60" t="n"/>
      <c r="D19" s="60" t="n"/>
      <c r="E19" s="60" t="n"/>
      <c r="F19" s="62">
        <f>IF(D19&lt;&gt;"",D19*E19,"")</f>
        <v/>
      </c>
      <c r="G19" s="62">
        <f>IF(D19&lt;&gt;"",D19*0.93,"")</f>
        <v/>
      </c>
      <c r="H19" s="62">
        <f>IF(D19&lt;&gt;"",D19*1.2,"")</f>
        <v/>
      </c>
      <c r="I19" s="60" t="n"/>
      <c r="J19" s="60" t="n"/>
      <c r="K19" s="60" t="n"/>
      <c r="L19" s="63">
        <f>IF(K19&lt;&gt;"",(K19-D19)*E19,"")</f>
        <v/>
      </c>
      <c r="M19" s="64">
        <f>IF(K19&lt;&gt;"",(K19-D19)/D19,"")</f>
        <v/>
      </c>
      <c r="N19" s="60" t="n"/>
    </row>
    <row r="20" ht="19.5" customHeight="1" s="72">
      <c r="A20" s="65" t="n"/>
      <c r="B20" s="66" t="n"/>
      <c r="C20" s="65" t="n"/>
      <c r="D20" s="65" t="n"/>
      <c r="E20" s="65" t="n"/>
      <c r="F20" s="67">
        <f>IF(D20&lt;&gt;"",D20*E20,"")</f>
        <v/>
      </c>
      <c r="G20" s="67">
        <f>IF(D20&lt;&gt;"",D20*0.93,"")</f>
        <v/>
      </c>
      <c r="H20" s="67">
        <f>IF(D20&lt;&gt;"",D20*1.2,"")</f>
        <v/>
      </c>
      <c r="I20" s="65" t="n"/>
      <c r="J20" s="65" t="n"/>
      <c r="K20" s="65" t="n"/>
      <c r="L20" s="68">
        <f>IF(K20&lt;&gt;"",(K20-D20)*E20,"")</f>
        <v/>
      </c>
      <c r="M20" s="69">
        <f>IF(K20&lt;&gt;"",(K20-D20)/D20,"")</f>
        <v/>
      </c>
      <c r="N20" s="65" t="n"/>
    </row>
    <row r="21" ht="19.5" customHeight="1" s="72">
      <c r="A21" s="60" t="n"/>
      <c r="B21" s="61" t="n"/>
      <c r="C21" s="60" t="n"/>
      <c r="D21" s="60" t="n"/>
      <c r="E21" s="60" t="n"/>
      <c r="F21" s="62">
        <f>IF(D21&lt;&gt;"",D21*E21,"")</f>
        <v/>
      </c>
      <c r="G21" s="62">
        <f>IF(D21&lt;&gt;"",D21*0.93,"")</f>
        <v/>
      </c>
      <c r="H21" s="62">
        <f>IF(D21&lt;&gt;"",D21*1.2,"")</f>
        <v/>
      </c>
      <c r="I21" s="60" t="n"/>
      <c r="J21" s="60" t="n"/>
      <c r="K21" s="60" t="n"/>
      <c r="L21" s="63">
        <f>IF(K21&lt;&gt;"",(K21-D21)*E21,"")</f>
        <v/>
      </c>
      <c r="M21" s="64">
        <f>IF(K21&lt;&gt;"",(K21-D21)/D21,"")</f>
        <v/>
      </c>
      <c r="N21" s="60" t="n"/>
    </row>
    <row r="22" ht="19.5" customHeight="1" s="72">
      <c r="A22" s="65" t="n"/>
      <c r="B22" s="66" t="n"/>
      <c r="C22" s="65" t="n"/>
      <c r="D22" s="65" t="n"/>
      <c r="E22" s="65" t="n"/>
      <c r="F22" s="67">
        <f>IF(D22&lt;&gt;"",D22*E22,"")</f>
        <v/>
      </c>
      <c r="G22" s="67">
        <f>IF(D22&lt;&gt;"",D22*0.93,"")</f>
        <v/>
      </c>
      <c r="H22" s="67">
        <f>IF(D22&lt;&gt;"",D22*1.2,"")</f>
        <v/>
      </c>
      <c r="I22" s="65" t="n"/>
      <c r="J22" s="65" t="n"/>
      <c r="K22" s="65" t="n"/>
      <c r="L22" s="68">
        <f>IF(K22&lt;&gt;"",(K22-D22)*E22,"")</f>
        <v/>
      </c>
      <c r="M22" s="69">
        <f>IF(K22&lt;&gt;"",(K22-D22)/D22,"")</f>
        <v/>
      </c>
      <c r="N22" s="65" t="n"/>
    </row>
    <row r="23" ht="19.5" customHeight="1" s="72">
      <c r="A23" s="60" t="n"/>
      <c r="B23" s="61" t="n"/>
      <c r="C23" s="60" t="n"/>
      <c r="D23" s="60" t="n"/>
      <c r="E23" s="60" t="n"/>
      <c r="F23" s="62">
        <f>IF(D23&lt;&gt;"",D23*E23,"")</f>
        <v/>
      </c>
      <c r="G23" s="62">
        <f>IF(D23&lt;&gt;"",D23*0.93,"")</f>
        <v/>
      </c>
      <c r="H23" s="62">
        <f>IF(D23&lt;&gt;"",D23*1.2,"")</f>
        <v/>
      </c>
      <c r="I23" s="60" t="n"/>
      <c r="J23" s="60" t="n"/>
      <c r="K23" s="60" t="n"/>
      <c r="L23" s="63">
        <f>IF(K23&lt;&gt;"",(K23-D23)*E23,"")</f>
        <v/>
      </c>
      <c r="M23" s="64">
        <f>IF(K23&lt;&gt;"",(K23-D23)/D23,"")</f>
        <v/>
      </c>
      <c r="N23" s="60" t="n"/>
    </row>
    <row r="24" ht="19.5" customHeight="1" s="72">
      <c r="A24" s="65" t="n"/>
      <c r="B24" s="66" t="n"/>
      <c r="C24" s="65" t="n"/>
      <c r="D24" s="65" t="n"/>
      <c r="E24" s="65" t="n"/>
      <c r="F24" s="67">
        <f>IF(D24&lt;&gt;"",D24*E24,"")</f>
        <v/>
      </c>
      <c r="G24" s="67">
        <f>IF(D24&lt;&gt;"",D24*0.93,"")</f>
        <v/>
      </c>
      <c r="H24" s="67">
        <f>IF(D24&lt;&gt;"",D24*1.2,"")</f>
        <v/>
      </c>
      <c r="I24" s="65" t="n"/>
      <c r="J24" s="65" t="n"/>
      <c r="K24" s="65" t="n"/>
      <c r="L24" s="68">
        <f>IF(K24&lt;&gt;"",(K24-D24)*E24,"")</f>
        <v/>
      </c>
      <c r="M24" s="69">
        <f>IF(K24&lt;&gt;"",(K24-D24)/D24,"")</f>
        <v/>
      </c>
      <c r="N24" s="65" t="n"/>
    </row>
    <row r="25" ht="15.75" customHeight="1" s="72"/>
    <row r="26" ht="9.75" customHeight="1" s="72"/>
    <row r="27" ht="24" customHeight="1" s="72">
      <c r="A27" s="109" t="inlineStr">
        <is>
          <t>TOTAL P&amp;L</t>
        </is>
      </c>
      <c r="G27" s="71">
        <f>SUM(L5:L25)</f>
        <v/>
      </c>
    </row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3">
    <mergeCell ref="A3:N3"/>
    <mergeCell ref="A2:N2"/>
    <mergeCell ref="A27:F2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2026-05-30T01:29:22Z</dcterms:created>
  <dcterms:modified xmlns:dcterms="http://purl.org/dc/terms/" xmlns:xsi="http://www.w3.org/2001/XMLSchema-instance" xsi:type="dcterms:W3CDTF">2026-05-30T18:18:53Z</dcterms:modified>
</cp:coreProperties>
</file>