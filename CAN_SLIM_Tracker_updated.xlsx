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📊 Seguimiento" sheetId="1" state="visible" r:id="rId1"/>
    <sheet xmlns:r="http://schemas.openxmlformats.org/officeDocument/2006/relationships" name="📋 Metodología CAN SLIM" sheetId="2" state="visible" r:id="rId2"/>
    <sheet xmlns:r="http://schemas.openxmlformats.org/officeDocument/2006/relationships" name="📈 Historial Opera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"/>
    <numFmt numFmtId="165" formatCode="0.0%"/>
    <numFmt numFmtId="166" formatCode="0.0"/>
    <numFmt numFmtId="167" formatCode="0.0&quot; /4&quot;"/>
    <numFmt numFmtId="168" formatCode="0.0&quot;x&quot;"/>
    <numFmt numFmtId="169" formatCode="$#,##0.00;($#,##0.00);-"/>
    <numFmt numFmtId="170" formatCode="0.0%;(0.0%);-"/>
  </numFmts>
  <fonts count="34">
    <font>
      <name val="Calibri"/>
      <color theme="1"/>
      <sz val="11"/>
      <scheme val="minor"/>
    </font>
    <font>
      <name val="Arial"/>
      <b val="1"/>
      <color rgb="FF00D4FF"/>
      <sz val="18"/>
    </font>
    <font/>
    <font>
      <name val="Arial"/>
      <i val="1"/>
      <color rgb="FF64748B"/>
      <sz val="9"/>
    </font>
    <font>
      <name val="Calibri"/>
      <color theme="1"/>
      <sz val="11"/>
    </font>
    <font>
      <name val="Arial"/>
      <b val="1"/>
      <color rgb="FFFFFFFF"/>
      <sz val="8"/>
    </font>
    <font>
      <name val="Arial"/>
      <b val="1"/>
      <color rgb="FFF8FAFC"/>
      <sz val="8"/>
    </font>
    <font>
      <name val="Arial"/>
      <color rgb="FF64748B"/>
      <sz val="9"/>
    </font>
    <font>
      <name val="Arial"/>
      <b val="1"/>
      <color rgb="FF0077CC"/>
      <sz val="10"/>
    </font>
    <font>
      <name val="Arial"/>
      <color rgb="FF000000"/>
      <sz val="9"/>
    </font>
    <font>
      <name val="Arial"/>
      <b val="1"/>
      <color rgb="FF0000FF"/>
      <sz val="10"/>
    </font>
    <font>
      <name val="Arial"/>
      <color rgb="FF0000FF"/>
      <sz val="9"/>
    </font>
    <font>
      <name val="Arial"/>
      <b val="1"/>
      <color rgb="FF000000"/>
      <sz val="9"/>
    </font>
    <font>
      <name val="Arial"/>
      <b val="1"/>
      <color rgb="FF0000FF"/>
      <sz val="9"/>
    </font>
    <font>
      <name val="Arial"/>
      <b val="1"/>
      <color rgb="FF000000"/>
      <sz val="11"/>
    </font>
    <font>
      <name val="Arial"/>
      <b val="1"/>
      <color theme="1"/>
      <sz val="10"/>
    </font>
    <font>
      <name val="Arial"/>
      <b val="1"/>
      <color theme="1"/>
      <sz val="9"/>
    </font>
    <font>
      <name val="Arial"/>
      <color rgb="FF5C4000"/>
      <sz val="9"/>
    </font>
    <font>
      <name val="Arial"/>
      <i val="1"/>
      <color rgb="FF64748B"/>
      <sz val="8"/>
    </font>
    <font>
      <name val="Arial"/>
      <b val="1"/>
      <color rgb="FF00D4FF"/>
      <sz val="16"/>
    </font>
    <font>
      <name val="Arial"/>
      <b val="1"/>
      <color rgb="FFFFFFFF"/>
      <sz val="9"/>
    </font>
    <font>
      <name val="Arial"/>
      <b val="1"/>
      <color rgb="FF0000AA"/>
      <sz val="9"/>
    </font>
    <font>
      <name val="Arial"/>
      <color rgb="FF990000"/>
      <sz val="9"/>
    </font>
    <font>
      <name val="Arial"/>
      <b val="1"/>
      <color rgb="FFFFFFFF"/>
      <sz val="11"/>
    </font>
    <font>
      <name val="Arial"/>
      <b val="1"/>
      <color rgb="FF003366"/>
      <sz val="9"/>
    </font>
    <font>
      <name val="Arial"/>
      <b val="1"/>
      <color rgb="FF00D4FF"/>
      <sz val="15"/>
    </font>
    <font>
      <name val="Arial"/>
      <b val="1"/>
      <color rgb="FF0077CC"/>
      <sz val="9"/>
    </font>
    <font>
      <name val="Arial"/>
      <b val="1"/>
      <color rgb="FFFFFFFF"/>
      <sz val="10"/>
    </font>
    <font>
      <name val="Arial"/>
      <b val="1"/>
      <color rgb="FF00D4FF"/>
      <sz val="11"/>
    </font>
    <font>
      <name val="Arial"/>
      <sz val="9"/>
    </font>
    <font>
      <name val="Arial"/>
      <b val="1"/>
      <sz val="9"/>
    </font>
    <font>
      <name val="Arial"/>
      <i val="1"/>
      <color rgb="00444444"/>
      <sz val="9"/>
    </font>
    <font>
      <b val="1"/>
      <color rgb="00000000"/>
    </font>
    <font>
      <b val="1"/>
    </font>
  </fonts>
  <fills count="33">
    <fill>
      <patternFill/>
    </fill>
    <fill>
      <patternFill patternType="lightGray"/>
    </fill>
    <fill>
      <patternFill patternType="solid">
        <fgColor rgb="FF0D1117"/>
        <bgColor rgb="FF0D1117"/>
      </patternFill>
    </fill>
    <fill>
      <patternFill patternType="solid">
        <fgColor rgb="FF00D4FF"/>
        <bgColor rgb="FF00D4FF"/>
      </patternFill>
    </fill>
    <fill>
      <patternFill patternType="solid">
        <fgColor rgb="FF1E3A5F"/>
        <bgColor rgb="FF1E3A5F"/>
      </patternFill>
    </fill>
    <fill>
      <patternFill patternType="solid">
        <fgColor rgb="FF1E3A2F"/>
        <bgColor rgb="FF1E3A2F"/>
      </patternFill>
    </fill>
    <fill>
      <patternFill patternType="solid">
        <fgColor rgb="FF3A2F1E"/>
        <bgColor rgb="FF3A2F1E"/>
      </patternFill>
    </fill>
    <fill>
      <patternFill patternType="solid">
        <fgColor rgb="FF2F1E3A"/>
        <bgColor rgb="FF2F1E3A"/>
      </patternFill>
    </fill>
    <fill>
      <patternFill patternType="solid">
        <fgColor rgb="FF1E2F3A"/>
        <bgColor rgb="FF1E2F3A"/>
      </patternFill>
    </fill>
    <fill>
      <patternFill patternType="solid">
        <fgColor rgb="FF1A1A2E"/>
        <bgColor rgb="FF1A1A2E"/>
      </patternFill>
    </fill>
    <fill>
      <patternFill patternType="solid">
        <fgColor rgb="FF2E1A1A"/>
        <bgColor rgb="FF2E1A1A"/>
      </patternFill>
    </fill>
    <fill>
      <patternFill patternType="solid">
        <fgColor rgb="FF1E2E1E"/>
        <bgColor rgb="FF1E2E1E"/>
      </patternFill>
    </fill>
    <fill>
      <patternFill patternType="solid">
        <fgColor rgb="FF161B22"/>
        <bgColor rgb="FF161B22"/>
      </patternFill>
    </fill>
    <fill>
      <patternFill patternType="solid">
        <fgColor rgb="FFEBF5FB"/>
        <bgColor rgb="FFEBF5FB"/>
      </patternFill>
    </fill>
    <fill>
      <patternFill patternType="solid">
        <fgColor rgb="FFFFFDE7"/>
        <bgColor rgb="FFFFFDE7"/>
      </patternFill>
    </fill>
    <fill>
      <patternFill patternType="solid">
        <fgColor rgb="FFD1FAE5"/>
        <bgColor rgb="FFD1FAE5"/>
      </patternFill>
    </fill>
    <fill>
      <patternFill patternType="solid">
        <fgColor rgb="FFFFF9C4"/>
        <bgColor rgb="FFFFF9C4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EF3C7"/>
        <bgColor rgb="FFFEF3C7"/>
      </patternFill>
    </fill>
    <fill>
      <patternFill patternType="solid">
        <fgColor rgb="FF1A3A5C"/>
        <bgColor rgb="FF1A3A5C"/>
      </patternFill>
    </fill>
    <fill>
      <patternFill patternType="solid">
        <fgColor rgb="FFE8F4FD"/>
        <bgColor rgb="FFE8F4FD"/>
      </patternFill>
    </fill>
    <fill>
      <patternFill patternType="solid">
        <fgColor rgb="FF0D2B45"/>
        <bgColor rgb="FF0D2B45"/>
      </patternFill>
    </fill>
    <fill>
      <patternFill patternType="solid">
        <fgColor rgb="FFD6EAF8"/>
        <bgColor rgb="FFD6EAF8"/>
      </patternFill>
    </fill>
    <fill>
      <patternFill patternType="solid">
        <fgColor rgb="FFF8FAFC"/>
        <bgColor rgb="FFF8FAFC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EFEFEF"/>
      </patternFill>
    </fill>
    <fill>
      <patternFill patternType="solid">
        <fgColor rgb="00FFCCCC"/>
      </patternFill>
    </fill>
    <fill>
      <patternFill patternType="solid">
        <fgColor rgb="00D9D9D9"/>
      </patternFill>
    </fill>
  </fills>
  <borders count="16">
    <border/>
    <border>
      <left/>
      <top/>
      <bottom/>
    </border>
    <border>
      <top/>
      <bottom/>
    </border>
    <border>
      <right/>
      <top/>
      <bottom/>
    </border>
    <border>
      <left style="thin">
        <color rgb="FF2D3748"/>
      </left>
      <top style="thin">
        <color rgb="FF2D3748"/>
      </top>
      <bottom style="thin">
        <color rgb="FF2D3748"/>
      </bottom>
    </border>
    <border>
      <top style="thin">
        <color rgb="FF2D3748"/>
      </top>
      <bottom style="thin">
        <color rgb="FF2D3748"/>
      </bottom>
    </border>
    <border>
      <right style="thin">
        <color rgb="FF2D3748"/>
      </right>
      <top style="thin">
        <color rgb="FF2D3748"/>
      </top>
      <bottom style="thin">
        <color rgb="FF2D3748"/>
      </bottom>
    </border>
    <border>
      <left style="thin">
        <color rgb="FF2D3748"/>
      </left>
      <right style="thin">
        <color rgb="FF2D3748"/>
      </right>
      <top style="thin">
        <color rgb="FF2D3748"/>
      </top>
      <bottom style="thin">
        <color rgb="FF2D3748"/>
      </bottom>
    </border>
    <border>
      <left/>
      <right/>
      <top/>
      <bottom/>
    </border>
    <border>
      <top style="thin">
        <color rgb="FF2D3748"/>
      </top>
    </border>
    <border>
      <right style="thin">
        <color rgb="FF2D3748"/>
      </right>
      <top style="thin">
        <color rgb="FF2D3748"/>
      </top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CCCCCC"/>
      </top>
    </border>
    <border>
      <right style="thin">
        <color rgb="00CCCCCC"/>
      </right>
      <top style="thin">
        <color rgb="00CCCCCC"/>
      </top>
    </border>
    <border>
      <top style="thin">
        <color rgb="00CCCCCC"/>
      </top>
      <bottom style="thin">
        <color rgb="00CCCCCC"/>
      </bottom>
    </border>
    <border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4" borderId="4" applyAlignment="1" pivotButton="0" quotePrefix="0" xfId="0">
      <alignment horizontal="center" vertical="center" wrapText="1"/>
    </xf>
    <xf numFmtId="0" fontId="2" fillId="0" borderId="5" pivotButton="0" quotePrefix="0" xfId="0"/>
    <xf numFmtId="0" fontId="2" fillId="0" borderId="6" pivotButton="0" quotePrefix="0" xfId="0"/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7" borderId="4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9" borderId="4" applyAlignment="1" pivotButton="0" quotePrefix="0" xfId="0">
      <alignment horizontal="center" vertical="center" wrapText="1"/>
    </xf>
    <xf numFmtId="0" fontId="5" fillId="10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0" fontId="6" fillId="12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9" fillId="0" borderId="7" applyAlignment="1" pivotButton="0" quotePrefix="0" xfId="0">
      <alignment horizontal="center" vertical="center" wrapText="1"/>
    </xf>
    <xf numFmtId="164" fontId="10" fillId="13" borderId="7" applyAlignment="1" pivotButton="0" quotePrefix="0" xfId="0">
      <alignment horizontal="right" vertical="center"/>
    </xf>
    <xf numFmtId="164" fontId="11" fillId="13" borderId="7" applyAlignment="1" pivotButton="0" quotePrefix="0" xfId="0">
      <alignment horizontal="right" vertical="center"/>
    </xf>
    <xf numFmtId="0" fontId="12" fillId="0" borderId="7" applyAlignment="1" pivotButton="0" quotePrefix="0" xfId="0">
      <alignment horizontal="center" vertical="center" wrapText="1"/>
    </xf>
    <xf numFmtId="165" fontId="11" fillId="13" borderId="7" applyAlignment="1" pivotButton="0" quotePrefix="0" xfId="0">
      <alignment horizontal="center" vertical="center" wrapText="1"/>
    </xf>
    <xf numFmtId="0" fontId="11" fillId="13" borderId="7" applyAlignment="1" pivotButton="0" quotePrefix="0" xfId="0">
      <alignment horizontal="center" vertical="center" wrapText="1"/>
    </xf>
    <xf numFmtId="2" fontId="11" fillId="13" borderId="7" applyAlignment="1" pivotButton="0" quotePrefix="0" xfId="0">
      <alignment horizontal="center" vertical="center" wrapText="1"/>
    </xf>
    <xf numFmtId="1" fontId="13" fillId="13" borderId="7" applyAlignment="1" pivotButton="0" quotePrefix="0" xfId="0">
      <alignment horizontal="center" vertical="center" wrapText="1"/>
    </xf>
    <xf numFmtId="166" fontId="11" fillId="13" borderId="7" applyAlignment="1" pivotButton="0" quotePrefix="0" xfId="0">
      <alignment horizontal="center" vertical="center" wrapText="1"/>
    </xf>
    <xf numFmtId="167" fontId="14" fillId="0" borderId="7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164" fontId="9" fillId="0" borderId="7" applyAlignment="1" pivotButton="0" quotePrefix="0" xfId="0">
      <alignment horizontal="right" vertical="center"/>
    </xf>
    <xf numFmtId="168" fontId="16" fillId="0" borderId="7" applyAlignment="1" pivotButton="0" quotePrefix="0" xfId="0">
      <alignment horizontal="center" vertical="center" wrapText="1"/>
    </xf>
    <xf numFmtId="0" fontId="17" fillId="14" borderId="7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4" borderId="7" applyAlignment="1" pivotButton="0" quotePrefix="0" xfId="0">
      <alignment horizontal="center" vertical="center" wrapText="1"/>
    </xf>
    <xf numFmtId="0" fontId="5" fillId="4" borderId="7" applyAlignment="1" pivotButton="0" quotePrefix="0" xfId="0">
      <alignment horizontal="center" vertical="center" wrapText="1"/>
    </xf>
    <xf numFmtId="0" fontId="16" fillId="15" borderId="7" applyAlignment="1" pivotButton="0" quotePrefix="0" xfId="0">
      <alignment horizontal="left" vertical="center" wrapText="1"/>
    </xf>
    <xf numFmtId="0" fontId="21" fillId="15" borderId="7" applyAlignment="1" pivotButton="0" quotePrefix="0" xfId="0">
      <alignment horizontal="left" vertical="center" wrapText="1"/>
    </xf>
    <xf numFmtId="0" fontId="17" fillId="16" borderId="7" applyAlignment="1" pivotButton="0" quotePrefix="0" xfId="0">
      <alignment horizontal="center" vertical="center" wrapText="1"/>
    </xf>
    <xf numFmtId="0" fontId="9" fillId="15" borderId="7" applyAlignment="1" pivotButton="0" quotePrefix="0" xfId="0">
      <alignment horizontal="left" vertical="center" wrapText="1"/>
    </xf>
    <xf numFmtId="0" fontId="22" fillId="17" borderId="7" applyAlignment="1" pivotButton="0" quotePrefix="0" xfId="0">
      <alignment horizontal="left" vertical="center" wrapText="1"/>
    </xf>
    <xf numFmtId="0" fontId="16" fillId="18" borderId="7" applyAlignment="1" pivotButton="0" quotePrefix="0" xfId="0">
      <alignment horizontal="left" vertical="center" wrapText="1"/>
    </xf>
    <xf numFmtId="0" fontId="21" fillId="18" borderId="7" applyAlignment="1" pivotButton="0" quotePrefix="0" xfId="0">
      <alignment horizontal="left" vertical="center" wrapText="1"/>
    </xf>
    <xf numFmtId="0" fontId="9" fillId="18" borderId="7" applyAlignment="1" pivotButton="0" quotePrefix="0" xfId="0">
      <alignment horizontal="left" vertical="center" wrapText="1"/>
    </xf>
    <xf numFmtId="0" fontId="5" fillId="6" borderId="7" applyAlignment="1" pivotButton="0" quotePrefix="0" xfId="0">
      <alignment horizontal="center" vertical="center" wrapText="1"/>
    </xf>
    <xf numFmtId="0" fontId="16" fillId="19" borderId="7" applyAlignment="1" pivotButton="0" quotePrefix="0" xfId="0">
      <alignment horizontal="left" vertical="center" wrapText="1"/>
    </xf>
    <xf numFmtId="0" fontId="21" fillId="19" borderId="7" applyAlignment="1" pivotButton="0" quotePrefix="0" xfId="0">
      <alignment horizontal="left" vertical="center" wrapText="1"/>
    </xf>
    <xf numFmtId="0" fontId="9" fillId="19" borderId="7" applyAlignment="1" pivotButton="0" quotePrefix="0" xfId="0">
      <alignment horizontal="left" vertical="center" wrapText="1"/>
    </xf>
    <xf numFmtId="0" fontId="5" fillId="7" borderId="7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 wrapText="1"/>
    </xf>
    <xf numFmtId="0" fontId="5" fillId="20" borderId="7" applyAlignment="1" pivotButton="0" quotePrefix="0" xfId="0">
      <alignment horizontal="center" vertical="center" wrapText="1"/>
    </xf>
    <xf numFmtId="0" fontId="24" fillId="21" borderId="7" applyAlignment="1" pivotButton="0" quotePrefix="0" xfId="0">
      <alignment horizontal="left" vertical="center" wrapText="1"/>
    </xf>
    <xf numFmtId="0" fontId="9" fillId="21" borderId="4" applyAlignment="1" pivotButton="0" quotePrefix="0" xfId="0">
      <alignment horizontal="left" vertical="center" wrapText="1"/>
    </xf>
    <xf numFmtId="0" fontId="5" fillId="22" borderId="7" applyAlignment="1" pivotButton="0" quotePrefix="0" xfId="0">
      <alignment horizontal="center" vertical="center" wrapText="1"/>
    </xf>
    <xf numFmtId="0" fontId="24" fillId="23" borderId="7" applyAlignment="1" pivotButton="0" quotePrefix="0" xfId="0">
      <alignment horizontal="left" vertical="center" wrapText="1"/>
    </xf>
    <xf numFmtId="0" fontId="9" fillId="23" borderId="4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5" fillId="12" borderId="7" applyAlignment="1" pivotButton="0" quotePrefix="0" xfId="0">
      <alignment horizontal="center" vertical="center" wrapText="1"/>
    </xf>
    <xf numFmtId="0" fontId="9" fillId="18" borderId="7" applyAlignment="1" pivotButton="0" quotePrefix="0" xfId="0">
      <alignment horizontal="center" vertical="center" wrapText="1"/>
    </xf>
    <xf numFmtId="0" fontId="26" fillId="18" borderId="7" applyAlignment="1" pivotButton="0" quotePrefix="0" xfId="0">
      <alignment horizontal="center" vertical="center" wrapText="1"/>
    </xf>
    <xf numFmtId="164" fontId="9" fillId="18" borderId="7" applyAlignment="1" pivotButton="0" quotePrefix="0" xfId="0">
      <alignment horizontal="center" vertical="center" wrapText="1"/>
    </xf>
    <xf numFmtId="169" fontId="9" fillId="18" borderId="7" applyAlignment="1" pivotButton="0" quotePrefix="0" xfId="0">
      <alignment horizontal="center" vertical="center" wrapText="1"/>
    </xf>
    <xf numFmtId="170" fontId="9" fillId="18" borderId="7" applyAlignment="1" pivotButton="0" quotePrefix="0" xfId="0">
      <alignment horizontal="center" vertical="center" wrapText="1"/>
    </xf>
    <xf numFmtId="0" fontId="9" fillId="24" borderId="7" applyAlignment="1" pivotButton="0" quotePrefix="0" xfId="0">
      <alignment horizontal="center" vertical="center" wrapText="1"/>
    </xf>
    <xf numFmtId="0" fontId="26" fillId="24" borderId="7" applyAlignment="1" pivotButton="0" quotePrefix="0" xfId="0">
      <alignment horizontal="center" vertical="center" wrapText="1"/>
    </xf>
    <xf numFmtId="164" fontId="9" fillId="24" borderId="7" applyAlignment="1" pivotButton="0" quotePrefix="0" xfId="0">
      <alignment horizontal="center" vertical="center" wrapText="1"/>
    </xf>
    <xf numFmtId="169" fontId="9" fillId="24" borderId="7" applyAlignment="1" pivotButton="0" quotePrefix="0" xfId="0">
      <alignment horizontal="center" vertical="center" wrapText="1"/>
    </xf>
    <xf numFmtId="170" fontId="9" fillId="24" borderId="7" applyAlignment="1" pivotButton="0" quotePrefix="0" xfId="0">
      <alignment horizontal="center" vertical="center" wrapText="1"/>
    </xf>
    <xf numFmtId="0" fontId="27" fillId="2" borderId="1" applyAlignment="1" pivotButton="0" quotePrefix="0" xfId="0">
      <alignment horizontal="center" vertical="center" wrapText="1"/>
    </xf>
    <xf numFmtId="169" fontId="28" fillId="2" borderId="8" pivotButton="0" quotePrefix="0" xfId="0"/>
    <xf numFmtId="0" fontId="0" fillId="0" borderId="0" pivotButton="0" quotePrefix="0" xfId="0"/>
    <xf numFmtId="0" fontId="1" fillId="2" borderId="8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4" fillId="3" borderId="8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5" borderId="7" applyAlignment="1" pivotButton="0" quotePrefix="0" xfId="0">
      <alignment horizontal="center" vertical="center" wrapText="1"/>
    </xf>
    <xf numFmtId="0" fontId="5" fillId="9" borderId="7" applyAlignment="1" pivotButton="0" quotePrefix="0" xfId="0">
      <alignment horizontal="center" vertical="center" wrapText="1"/>
    </xf>
    <xf numFmtId="0" fontId="5" fillId="10" borderId="7" applyAlignment="1" pivotButton="0" quotePrefix="0" xfId="0">
      <alignment horizontal="center" vertical="center" wrapText="1"/>
    </xf>
    <xf numFmtId="0" fontId="5" fillId="11" borderId="7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0" fontId="30" fillId="25" borderId="11" applyAlignment="1" pivotButton="0" quotePrefix="0" xfId="0">
      <alignment horizontal="center" vertical="center" wrapText="1"/>
    </xf>
    <xf numFmtId="164" fontId="29" fillId="26" borderId="11" applyAlignment="1" pivotButton="0" quotePrefix="0" xfId="0">
      <alignment horizontal="center" vertical="center" wrapText="1"/>
    </xf>
    <xf numFmtId="0" fontId="29" fillId="25" borderId="11" applyAlignment="1" pivotButton="0" quotePrefix="0" xfId="0">
      <alignment horizontal="center" vertical="center" wrapText="1"/>
    </xf>
    <xf numFmtId="165" fontId="29" fillId="25" borderId="11" applyAlignment="1" pivotButton="0" quotePrefix="0" xfId="0">
      <alignment horizontal="center" vertical="center" wrapText="1"/>
    </xf>
    <xf numFmtId="2" fontId="29" fillId="25" borderId="11" applyAlignment="1" pivotButton="0" quotePrefix="0" xfId="0">
      <alignment horizontal="center" vertical="center" wrapText="1"/>
    </xf>
    <xf numFmtId="1" fontId="29" fillId="25" borderId="11" applyAlignment="1" pivotButton="0" quotePrefix="0" xfId="0">
      <alignment horizontal="center" vertical="center" wrapText="1"/>
    </xf>
    <xf numFmtId="166" fontId="29" fillId="25" borderId="11" applyAlignment="1" pivotButton="0" quotePrefix="0" xfId="0">
      <alignment horizontal="center" vertical="center" wrapText="1"/>
    </xf>
    <xf numFmtId="167" fontId="29" fillId="25" borderId="11" applyAlignment="1" pivotButton="0" quotePrefix="0" xfId="0">
      <alignment horizontal="center" vertical="center" wrapText="1"/>
    </xf>
    <xf numFmtId="164" fontId="29" fillId="25" borderId="11" applyAlignment="1" pivotButton="0" quotePrefix="0" xfId="0">
      <alignment horizontal="right" vertical="center"/>
    </xf>
    <xf numFmtId="168" fontId="29" fillId="25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0" fontId="30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horizontal="center" vertical="center" wrapText="1"/>
    </xf>
    <xf numFmtId="165" fontId="29" fillId="27" borderId="11" applyAlignment="1" pivotButton="0" quotePrefix="0" xfId="0">
      <alignment horizontal="center" vertical="center" wrapText="1"/>
    </xf>
    <xf numFmtId="2" fontId="29" fillId="27" borderId="11" applyAlignment="1" pivotButton="0" quotePrefix="0" xfId="0">
      <alignment horizontal="center" vertical="center" wrapText="1"/>
    </xf>
    <xf numFmtId="1" fontId="29" fillId="27" borderId="11" applyAlignment="1" pivotButton="0" quotePrefix="0" xfId="0">
      <alignment horizontal="center" vertical="center" wrapText="1"/>
    </xf>
    <xf numFmtId="166" fontId="29" fillId="27" borderId="11" applyAlignment="1" pivotButton="0" quotePrefix="0" xfId="0">
      <alignment horizontal="center" vertical="center" wrapText="1"/>
    </xf>
    <xf numFmtId="167" fontId="29" fillId="27" borderId="11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right" vertical="center"/>
    </xf>
    <xf numFmtId="168" fontId="29" fillId="27" borderId="11" applyAlignment="1" pivotButton="0" quotePrefix="0" xfId="0">
      <alignment horizontal="center" vertical="center" wrapText="1"/>
    </xf>
    <xf numFmtId="0" fontId="29" fillId="27" borderId="11" pivotButton="0" quotePrefix="0" xfId="0"/>
    <xf numFmtId="0" fontId="19" fillId="2" borderId="8" applyAlignment="1" pivotButton="0" quotePrefix="0" xfId="0">
      <alignment horizontal="center" vertical="center" wrapText="1"/>
    </xf>
    <xf numFmtId="0" fontId="23" fillId="2" borderId="8" applyAlignment="1" pivotButton="0" quotePrefix="0" xfId="0">
      <alignment horizontal="center" vertical="center" wrapText="1"/>
    </xf>
    <xf numFmtId="0" fontId="9" fillId="21" borderId="7" applyAlignment="1" pivotButton="0" quotePrefix="0" xfId="0">
      <alignment horizontal="left" vertical="center" wrapText="1"/>
    </xf>
    <xf numFmtId="0" fontId="9" fillId="23" borderId="7" applyAlignment="1" pivotButton="0" quotePrefix="0" xfId="0">
      <alignment horizontal="left" vertical="center" wrapText="1"/>
    </xf>
    <xf numFmtId="0" fontId="25" fillId="2" borderId="8" applyAlignment="1" pivotButton="0" quotePrefix="0" xfId="0">
      <alignment horizontal="center" vertical="center" wrapText="1"/>
    </xf>
    <xf numFmtId="0" fontId="27" fillId="2" borderId="8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9" fillId="28" borderId="11" applyAlignment="1" pivotButton="0" quotePrefix="0" xfId="0">
      <alignment horizontal="center" vertical="center" wrapText="1"/>
    </xf>
    <xf numFmtId="0" fontId="0" fillId="29" borderId="0" pivotButton="0" quotePrefix="0" xfId="0"/>
    <xf numFmtId="0" fontId="31" fillId="30" borderId="0" applyAlignment="1" pivotButton="0" quotePrefix="0" xfId="0">
      <alignment horizontal="left" vertical="center" wrapText="1"/>
    </xf>
    <xf numFmtId="0" fontId="5" fillId="27" borderId="7" applyAlignment="1" pivotButton="0" quotePrefix="0" xfId="0">
      <alignment horizontal="center" vertical="center" wrapText="1"/>
    </xf>
    <xf numFmtId="0" fontId="0" fillId="27" borderId="5" pivotButton="0" quotePrefix="0" xfId="0"/>
    <xf numFmtId="0" fontId="0" fillId="27" borderId="6" pivotButton="0" quotePrefix="0" xfId="0"/>
    <xf numFmtId="0" fontId="32" fillId="27" borderId="7" applyAlignment="1" pivotButton="0" quotePrefix="0" xfId="0">
      <alignment horizontal="center" vertical="center" wrapText="1"/>
    </xf>
    <xf numFmtId="0" fontId="6" fillId="27" borderId="7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horizontal="center" vertical="center" wrapText="1"/>
    </xf>
    <xf numFmtId="0" fontId="30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center" vertical="center" wrapText="1"/>
    </xf>
    <xf numFmtId="165" fontId="29" fillId="31" borderId="11" applyAlignment="1" pivotButton="0" quotePrefix="0" xfId="0">
      <alignment horizontal="center" vertical="center" wrapText="1"/>
    </xf>
    <xf numFmtId="2" fontId="29" fillId="31" borderId="11" applyAlignment="1" pivotButton="0" quotePrefix="0" xfId="0">
      <alignment horizontal="center" vertical="center" wrapText="1"/>
    </xf>
    <xf numFmtId="1" fontId="29" fillId="31" borderId="11" applyAlignment="1" pivotButton="0" quotePrefix="0" xfId="0">
      <alignment horizontal="center" vertical="center" wrapText="1"/>
    </xf>
    <xf numFmtId="166" fontId="29" fillId="31" borderId="11" applyAlignment="1" pivotButton="0" quotePrefix="0" xfId="0">
      <alignment horizontal="center" vertical="center" wrapText="1"/>
    </xf>
    <xf numFmtId="0" fontId="32" fillId="31" borderId="11" applyAlignment="1" pivotButton="0" quotePrefix="0" xfId="0">
      <alignment horizontal="center" vertical="center" wrapText="1"/>
    </xf>
    <xf numFmtId="167" fontId="29" fillId="31" borderId="11" applyAlignment="1" pivotButton="0" quotePrefix="0" xfId="0">
      <alignment horizontal="center" vertical="center" wrapText="1"/>
    </xf>
    <xf numFmtId="164" fontId="29" fillId="31" borderId="11" applyAlignment="1" pivotButton="0" quotePrefix="0" xfId="0">
      <alignment horizontal="right" vertical="center"/>
    </xf>
    <xf numFmtId="164" fontId="11" fillId="31" borderId="7" applyAlignment="1" pivotButton="0" quotePrefix="0" xfId="0">
      <alignment horizontal="right" vertical="center"/>
    </xf>
    <xf numFmtId="168" fontId="29" fillId="31" borderId="11" applyAlignment="1" pivotButton="0" quotePrefix="0" xfId="0">
      <alignment horizontal="center" vertical="center" wrapText="1"/>
    </xf>
    <xf numFmtId="0" fontId="11" fillId="31" borderId="7" applyAlignment="1" pivotButton="0" quotePrefix="0" xfId="0">
      <alignment horizontal="center" vertical="center" wrapText="1"/>
    </xf>
    <xf numFmtId="164" fontId="29" fillId="27" borderId="11" applyAlignment="1" pivotButton="0" quotePrefix="0" xfId="0">
      <alignment horizontal="center" vertical="center" wrapText="1"/>
    </xf>
    <xf numFmtId="0" fontId="32" fillId="27" borderId="11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right" vertical="center"/>
    </xf>
    <xf numFmtId="0" fontId="11" fillId="27" borderId="7" applyAlignment="1" pivotButton="0" quotePrefix="0" xfId="0">
      <alignment horizontal="center" vertical="center" wrapText="1"/>
    </xf>
    <xf numFmtId="0" fontId="30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center" vertical="center" wrapText="1"/>
    </xf>
    <xf numFmtId="165" fontId="29" fillId="28" borderId="11" applyAlignment="1" pivotButton="0" quotePrefix="0" xfId="0">
      <alignment horizontal="center" vertical="center" wrapText="1"/>
    </xf>
    <xf numFmtId="2" fontId="29" fillId="28" borderId="11" applyAlignment="1" pivotButton="0" quotePrefix="0" xfId="0">
      <alignment horizontal="center" vertical="center" wrapText="1"/>
    </xf>
    <xf numFmtId="1" fontId="29" fillId="28" borderId="11" applyAlignment="1" pivotButton="0" quotePrefix="0" xfId="0">
      <alignment horizontal="center" vertical="center" wrapText="1"/>
    </xf>
    <xf numFmtId="166" fontId="29" fillId="28" borderId="11" applyAlignment="1" pivotButton="0" quotePrefix="0" xfId="0">
      <alignment horizontal="center" vertical="center" wrapText="1"/>
    </xf>
    <xf numFmtId="0" fontId="32" fillId="28" borderId="11" applyAlignment="1" pivotButton="0" quotePrefix="0" xfId="0">
      <alignment horizontal="center" vertical="center" wrapText="1"/>
    </xf>
    <xf numFmtId="167" fontId="29" fillId="28" borderId="11" applyAlignment="1" pivotButton="0" quotePrefix="0" xfId="0">
      <alignment horizontal="center" vertical="center" wrapText="1"/>
    </xf>
    <xf numFmtId="164" fontId="29" fillId="28" borderId="11" applyAlignment="1" pivotButton="0" quotePrefix="0" xfId="0">
      <alignment horizontal="right" vertical="center"/>
    </xf>
    <xf numFmtId="164" fontId="11" fillId="28" borderId="7" applyAlignment="1" pivotButton="0" quotePrefix="0" xfId="0">
      <alignment horizontal="right" vertical="center"/>
    </xf>
    <xf numFmtId="168" fontId="29" fillId="28" borderId="11" applyAlignment="1" pivotButton="0" quotePrefix="0" xfId="0">
      <alignment horizontal="center" vertical="center" wrapText="1"/>
    </xf>
    <xf numFmtId="0" fontId="11" fillId="28" borderId="7" applyAlignment="1" pivotButton="0" quotePrefix="0" xfId="0">
      <alignment horizontal="center" vertical="center" wrapText="1"/>
    </xf>
    <xf numFmtId="0" fontId="29" fillId="28" borderId="11" pivotButton="0" quotePrefix="0" xfId="0"/>
    <xf numFmtId="0" fontId="32" fillId="28" borderId="11" pivotButton="0" quotePrefix="0" xfId="0"/>
    <xf numFmtId="0" fontId="0" fillId="28" borderId="0" pivotButton="0" quotePrefix="0" xfId="0"/>
    <xf numFmtId="0" fontId="32" fillId="27" borderId="11" pivotButton="0" quotePrefix="0" xfId="0"/>
    <xf numFmtId="0" fontId="0" fillId="27" borderId="0" pivotButton="0" quotePrefix="0" xfId="0"/>
    <xf numFmtId="0" fontId="29" fillId="31" borderId="11" pivotButton="0" quotePrefix="0" xfId="0"/>
    <xf numFmtId="0" fontId="32" fillId="31" borderId="11" pivotButton="0" quotePrefix="0" xfId="0"/>
    <xf numFmtId="0" fontId="0" fillId="31" borderId="0" pivotButton="0" quotePrefix="0" xfId="0"/>
    <xf numFmtId="0" fontId="33" fillId="27" borderId="11" applyAlignment="1" pivotButton="0" quotePrefix="0" xfId="0">
      <alignment horizontal="center" vertical="center" wrapText="1"/>
    </xf>
    <xf numFmtId="0" fontId="29" fillId="27" borderId="11" applyAlignment="1" pivotButton="0" quotePrefix="0" xfId="0">
      <alignment vertical="top" wrapText="1"/>
    </xf>
    <xf numFmtId="0" fontId="33" fillId="31" borderId="11" applyAlignment="1" pivotButton="0" quotePrefix="0" xfId="0">
      <alignment horizontal="center" vertical="center" wrapText="1"/>
    </xf>
    <xf numFmtId="0" fontId="29" fillId="31" borderId="11" applyAlignment="1" pivotButton="0" quotePrefix="0" xfId="0">
      <alignment vertical="top" wrapText="1"/>
    </xf>
    <xf numFmtId="0" fontId="29" fillId="32" borderId="11" applyAlignment="1" pivotButton="0" quotePrefix="0" xfId="0">
      <alignment horizontal="center" vertical="center" wrapText="1"/>
    </xf>
    <xf numFmtId="0" fontId="30" fillId="32" borderId="11" applyAlignment="1" pivotButton="0" quotePrefix="0" xfId="0">
      <alignment horizontal="center" vertical="center" wrapText="1"/>
    </xf>
    <xf numFmtId="164" fontId="29" fillId="32" borderId="11" applyAlignment="1" pivotButton="0" quotePrefix="0" xfId="0">
      <alignment horizontal="center" vertical="center" wrapText="1"/>
    </xf>
    <xf numFmtId="0" fontId="29" fillId="32" borderId="11" pivotButton="0" quotePrefix="0" xfId="0"/>
    <xf numFmtId="165" fontId="29" fillId="32" borderId="11" applyAlignment="1" pivotButton="0" quotePrefix="0" xfId="0">
      <alignment horizontal="center" vertical="center" wrapText="1"/>
    </xf>
    <xf numFmtId="2" fontId="29" fillId="32" borderId="11" applyAlignment="1" pivotButton="0" quotePrefix="0" xfId="0">
      <alignment horizontal="center" vertical="center" wrapText="1"/>
    </xf>
    <xf numFmtId="0" fontId="32" fillId="32" borderId="11" pivotButton="0" quotePrefix="0" xfId="0"/>
    <xf numFmtId="0" fontId="33" fillId="32" borderId="11" pivotButton="0" quotePrefix="0" xfId="0"/>
    <xf numFmtId="0" fontId="0" fillId="32" borderId="0" pivotButton="0" quotePrefix="0" xfId="0"/>
    <xf numFmtId="0" fontId="29" fillId="32" borderId="11" applyAlignment="1" pivotButton="0" quotePrefix="0" xfId="0">
      <alignment vertical="top" wrapText="1"/>
    </xf>
    <xf numFmtId="0" fontId="33" fillId="27" borderId="11" pivotButton="0" quotePrefix="0" xfId="0"/>
    <xf numFmtId="0" fontId="33" fillId="31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00D4FF"/>
    <outlinePr summaryBelow="1" summaryRight="1"/>
    <pageSetUpPr/>
  </sheetPr>
  <dimension ref="A1:AE13"/>
  <sheetViews>
    <sheetView showGridLines="0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F7" sqref="F7"/>
    </sheetView>
  </sheetViews>
  <sheetFormatPr baseColWidth="8" defaultColWidth="14.43" defaultRowHeight="15" customHeight="1"/>
  <cols>
    <col width="5" customWidth="1" style="72" min="1" max="1"/>
    <col width="14" customWidth="1" style="72" min="2" max="2"/>
    <col width="26" customWidth="1" style="72" min="3" max="3"/>
    <col width="12" customWidth="1" style="72" min="4" max="4"/>
    <col width="11" customWidth="1" style="72" min="5" max="5"/>
    <col width="10" customWidth="1" style="72" min="6" max="10"/>
    <col width="9" customWidth="1" style="72" min="11" max="16"/>
    <col width="12" customWidth="1" style="72" min="17" max="17"/>
    <col width="10" customWidth="1" style="72" min="18" max="23"/>
    <col width="12" customWidth="1" style="72" min="24" max="24"/>
    <col width="20" customWidth="1" style="72" min="25" max="25"/>
    <col width="11" customWidth="1" style="72" min="26" max="28"/>
    <col width="9" customWidth="1" style="72" min="29" max="29"/>
    <col width="25" customWidth="1" style="72" min="30" max="30"/>
    <col width="60" customWidth="1" style="72" min="31" max="31"/>
  </cols>
  <sheetData>
    <row r="1" ht="15" customHeight="1" s="72">
      <c r="A1" s="0" t="inlineStr">
        <is>
          <t>CAN SLIM  —  TRACKER DE SEGUIMIENTO</t>
        </is>
      </c>
    </row>
    <row r="2" ht="39.75" customHeight="1" s="72">
      <c r="A2" s="73" t="inlineStr">
        <is>
          <t>Última revisión: 2026-06-01 | Watchlist activa: VISN #1 · YOU #2 · AGX #3 · COCO #4 · AUPH (cond.) · PAYS (cond.)</t>
        </is>
      </c>
    </row>
    <row r="3" ht="18" customHeight="1" s="72">
      <c r="A3" s="74" t="inlineStr">
        <is>
          <t>Actualiza precio actual y datos de mercado. El sistema calcula scores y veredicto automáticamente.</t>
        </is>
      </c>
    </row>
    <row r="4" ht="13.5" customHeight="1" s="72">
      <c r="A4" s="75" t="n"/>
    </row>
    <row r="5" ht="36" customHeight="1" s="72">
      <c r="A5" s="115" t="inlineStr">
        <is>
          <t>IDENTIFICACIÓN</t>
        </is>
      </c>
      <c r="B5" s="76" t="n"/>
      <c r="C5" s="76" t="n"/>
      <c r="D5" s="76" t="n"/>
      <c r="E5" s="77" t="n"/>
      <c r="F5" s="115" t="inlineStr">
        <is>
          <t>FILTRO 1 — TÉCNICO (obligatorio)</t>
        </is>
      </c>
      <c r="G5" s="76" t="n"/>
      <c r="H5" s="76" t="n"/>
      <c r="I5" s="77" t="n"/>
      <c r="J5" s="115" t="inlineStr">
        <is>
          <t>FILTRO 2 — CALIDAD NEGOCIO</t>
        </is>
      </c>
      <c r="K5" s="76" t="n"/>
      <c r="L5" s="76" t="n"/>
      <c r="M5" s="76" t="n"/>
      <c r="N5" s="76" t="n"/>
      <c r="O5" s="77" t="n"/>
      <c r="P5" s="115" t="inlineStr">
        <is>
          <t>FILTRO 3 — INSTITUCIONAL</t>
        </is>
      </c>
      <c r="Q5" s="76" t="n"/>
      <c r="R5" s="77" t="n"/>
      <c r="S5" s="115" t="inlineStr">
        <is>
          <t>FILTRO 4 — VOLUMEN</t>
        </is>
      </c>
      <c r="T5" s="118" t="inlineStr">
        <is>
          <t>👀 WATCHLIST</t>
        </is>
      </c>
      <c r="U5" s="76" t="n"/>
      <c r="V5" s="76" t="n"/>
      <c r="W5" s="76" t="n"/>
      <c r="X5" s="76" t="n"/>
      <c r="Y5" s="77" t="n"/>
      <c r="Z5" s="115" t="inlineStr">
        <is>
          <t>GESTIÓN DE RIESGO</t>
        </is>
      </c>
      <c r="AA5" s="76" t="n"/>
      <c r="AB5" s="76" t="n"/>
      <c r="AC5" s="77" t="n"/>
      <c r="AD5" s="115" t="inlineStr">
        <is>
          <t>SEGUIMIENTO</t>
        </is>
      </c>
      <c r="AE5" s="77" t="n"/>
    </row>
    <row r="6" ht="36" customHeight="1" s="72">
      <c r="A6" s="119" t="inlineStr">
        <is>
          <t>#</t>
        </is>
      </c>
      <c r="B6" s="119" t="inlineStr">
        <is>
          <t>TICKER</t>
        </is>
      </c>
      <c r="C6" s="119" t="inlineStr">
        <is>
          <t>EMPRESA</t>
        </is>
      </c>
      <c r="D6" s="119" t="inlineStr">
        <is>
          <t>SECTOR</t>
        </is>
      </c>
      <c r="E6" s="119" t="inlineStr">
        <is>
          <t>FECHA
ANÁLISIS</t>
        </is>
      </c>
      <c r="F6" s="119" t="inlineStr">
        <is>
          <t>PRECIO
ACTUAL ($)</t>
        </is>
      </c>
      <c r="G6" s="119" t="inlineStr">
        <is>
          <t>SMA 50</t>
        </is>
      </c>
      <c r="H6" s="119" t="inlineStr">
        <is>
          <t>SMA 200</t>
        </is>
      </c>
      <c r="I6" s="119" t="inlineStr">
        <is>
          <t>TENDENCIA
SMA50&gt;200</t>
        </is>
      </c>
      <c r="J6" s="119" t="inlineStr">
        <is>
          <t>REV
GROWTH YoY</t>
        </is>
      </c>
      <c r="K6" s="119" t="inlineStr">
        <is>
          <t>EPS BEATS
(ult. 4Q)</t>
        </is>
      </c>
      <c r="L6" s="119" t="inlineStr">
        <is>
          <t>ROIC/ROE
(&gt;15%)</t>
        </is>
      </c>
      <c r="M6" s="119" t="inlineStr">
        <is>
          <t>NET
MARGIN</t>
        </is>
      </c>
      <c r="N6" s="119" t="inlineStr">
        <is>
          <t>FCF
YIELD</t>
        </is>
      </c>
      <c r="O6" s="119" t="inlineStr">
        <is>
          <t>DEBT/
EQUITY</t>
        </is>
      </c>
      <c r="P6" s="119" t="inlineStr">
        <is>
          <t>RS
RATING</t>
        </is>
      </c>
      <c r="Q6" s="119" t="inlineStr">
        <is>
          <t>INST.
OWNERSHIP</t>
        </is>
      </c>
      <c r="R6" s="119" t="inlineStr">
        <is>
          <t>TARGET
UPSIDE</t>
        </is>
      </c>
      <c r="S6" s="119" t="inlineStr">
        <is>
          <t>AVG VOL
20D (M)</t>
        </is>
      </c>
      <c r="T6" s="118" t="inlineStr">
        <is>
          <t>👀 WATCHLIST #1</t>
        </is>
      </c>
      <c r="U6" s="119" t="inlineStr">
        <is>
          <t>F2
CALIDAD</t>
        </is>
      </c>
      <c r="V6" s="119" t="inlineStr">
        <is>
          <t>F3
INST.</t>
        </is>
      </c>
      <c r="W6" s="119" t="inlineStr">
        <is>
          <t>F4
VOL</t>
        </is>
      </c>
      <c r="X6" s="119" t="inlineStr">
        <is>
          <t>SCORE
TOTAL</t>
        </is>
      </c>
      <c r="Y6" s="119" t="inlineStr">
        <is>
          <t>VEREDICTO</t>
        </is>
      </c>
      <c r="Z6" s="119" t="inlineStr">
        <is>
          <t>STOP
LOSS (-7%)</t>
        </is>
      </c>
      <c r="AA6" s="119" t="inlineStr">
        <is>
          <t>TARGET 1
(+20%)</t>
        </is>
      </c>
      <c r="AB6" s="119" t="inlineStr">
        <is>
          <t>TARGET 2
(analistas)</t>
        </is>
      </c>
      <c r="AC6" s="119" t="inlineStr">
        <is>
          <t>R/R
RATIO</t>
        </is>
      </c>
      <c r="AD6" s="119" t="inlineStr">
        <is>
          <t>PRÓXIMA
REVISIÓN</t>
        </is>
      </c>
      <c r="AE6" s="119" t="inlineStr">
        <is>
          <t>NOTAS</t>
        </is>
      </c>
    </row>
    <row r="7" ht="42" customHeight="1" s="72">
      <c r="A7" s="95" t="n">
        <v>1</v>
      </c>
      <c r="B7" s="94" t="inlineStr">
        <is>
          <t>VISN</t>
        </is>
      </c>
      <c r="C7" s="95" t="inlineStr">
        <is>
          <t>Vistance Networks, Inc.</t>
        </is>
      </c>
      <c r="D7" s="95" t="inlineStr">
        <is>
          <t>Technology</t>
        </is>
      </c>
      <c r="E7" s="95" t="inlineStr">
        <is>
          <t>2026-06-01</t>
        </is>
      </c>
      <c r="F7" s="133" t="n">
        <v>12.39</v>
      </c>
      <c r="G7" s="133" t="n">
        <v>10.42</v>
      </c>
      <c r="H7" s="133" t="n">
        <v>8.949999999999999</v>
      </c>
      <c r="I7" s="95" t="n"/>
      <c r="J7" s="96" t="n">
        <v>6.026</v>
      </c>
      <c r="K7" s="95" t="n"/>
      <c r="L7" s="96" t="n">
        <v>0.131</v>
      </c>
      <c r="M7" s="96" t="n">
        <v>3.477</v>
      </c>
      <c r="N7" s="96" t="n">
        <v>0.27</v>
      </c>
      <c r="O7" s="97" t="n">
        <v>0.01</v>
      </c>
      <c r="P7" s="98" t="n">
        <v>99</v>
      </c>
      <c r="Q7" s="96" t="n">
        <v>0.976</v>
      </c>
      <c r="R7" s="96" t="n">
        <v>0.372</v>
      </c>
      <c r="S7" s="99" t="n">
        <v>6.7</v>
      </c>
      <c r="T7" s="134" t="inlineStr">
        <is>
          <t>⚠️</t>
        </is>
      </c>
      <c r="U7" s="95" t="inlineStr">
        <is>
          <t>3/4</t>
        </is>
      </c>
      <c r="V7" s="95" t="inlineStr">
        <is>
          <t>3/3</t>
        </is>
      </c>
      <c r="W7" s="95" t="n"/>
      <c r="X7" s="100" t="n"/>
      <c r="Y7" s="157" t="inlineStr">
        <is>
          <t>👀 WATCHLIST #1</t>
        </is>
      </c>
      <c r="Z7" s="101" t="n">
        <v>11.52</v>
      </c>
      <c r="AA7" s="101" t="n">
        <v>14.87</v>
      </c>
      <c r="AB7" s="135" t="n">
        <v>17</v>
      </c>
      <c r="AC7" s="102" t="n">
        <v>2.9</v>
      </c>
      <c r="AD7" s="136" t="inlineStr">
        <is>
          <t>Diario. Alerta ruptura $12.80 vol≥10.6M</t>
        </is>
      </c>
      <c r="AE7" s="158" t="inlineStr">
        <is>
          <t>[1jun26] RS 99. EPS +602.6%, Sales +21.6% (❌&lt;25%), ROE 13.1% (❌&lt;17%), FCF 27%. F3 3/3 (único de la watchlist). Precio $12.39 (-3.2% de máx $12.80). Vol -59.1% — sin breakout. Etapa 2 tardía. Trigger: ruptura $12.80 con vol ≥ 10.6M.</t>
        </is>
      </c>
    </row>
    <row r="8" ht="42" customHeight="1" s="72">
      <c r="A8" s="95" t="n">
        <v>2</v>
      </c>
      <c r="B8" s="94" t="inlineStr">
        <is>
          <t>YOU</t>
        </is>
      </c>
      <c r="C8" s="95" t="inlineStr">
        <is>
          <t>Clear Secure, Inc.</t>
        </is>
      </c>
      <c r="D8" s="95" t="inlineStr">
        <is>
          <t>Technology</t>
        </is>
      </c>
      <c r="E8" s="95" t="inlineStr">
        <is>
          <t>2026-06-01</t>
        </is>
      </c>
      <c r="F8" s="133" t="n">
        <v>57.1</v>
      </c>
      <c r="G8" s="133" t="n">
        <v>54.6</v>
      </c>
      <c r="H8" s="133" t="n">
        <v>40.34</v>
      </c>
      <c r="I8" s="95" t="n"/>
      <c r="J8" s="96" t="n">
        <v>0.527</v>
      </c>
      <c r="K8" s="95" t="n"/>
      <c r="L8" s="96" t="n">
        <v>1.095</v>
      </c>
      <c r="M8" s="96" t="n">
        <v>0.13</v>
      </c>
      <c r="N8" s="96" t="n">
        <v>0.045</v>
      </c>
      <c r="O8" s="97" t="n">
        <v>0.52</v>
      </c>
      <c r="P8" s="98" t="n">
        <v>99</v>
      </c>
      <c r="Q8" s="96" t="n">
        <v>0.97</v>
      </c>
      <c r="R8" s="96" t="n">
        <v>0.08599999999999999</v>
      </c>
      <c r="S8" s="99" t="n">
        <v>1.7</v>
      </c>
      <c r="T8" s="134" t="inlineStr">
        <is>
          <t>✅</t>
        </is>
      </c>
      <c r="U8" s="95" t="inlineStr">
        <is>
          <t>4/4</t>
        </is>
      </c>
      <c r="V8" s="95" t="inlineStr">
        <is>
          <t>2/3</t>
        </is>
      </c>
      <c r="W8" s="95" t="n"/>
      <c r="X8" s="100" t="n"/>
      <c r="Y8" s="157" t="inlineStr">
        <is>
          <t>👀 WATCHLIST #2</t>
        </is>
      </c>
      <c r="Z8" s="101" t="n">
        <v>53.1</v>
      </c>
      <c r="AA8" s="101" t="n">
        <v>68.52</v>
      </c>
      <c r="AB8" s="135" t="n">
        <v>62</v>
      </c>
      <c r="AC8" s="102" t="n">
        <v>2.9</v>
      </c>
      <c r="AD8" s="136" t="inlineStr">
        <is>
          <t>Diario. Alerta breakout $62.36 vol≥50%</t>
        </is>
      </c>
      <c r="AE8" s="158" t="inlineStr">
        <is>
          <t>[1jun26] RS 99. EPS +52.7%, ROE 109.5%, FCF 4.5%, D/E 0.52. F2 4/4. Precio $57.1 (-8.4% de máx $62.36). Vol -65% vs prom — sin breakout. Etapa 2. Esperar vol ≥50% sobre prom 50d en quiebre de $62.36.</t>
        </is>
      </c>
    </row>
    <row r="9" ht="42" customHeight="1" s="72">
      <c r="A9" s="120" t="n">
        <v>3</v>
      </c>
      <c r="B9" s="121" t="inlineStr">
        <is>
          <t>AGX</t>
        </is>
      </c>
      <c r="C9" s="120" t="inlineStr">
        <is>
          <t>Argan, Inc.</t>
        </is>
      </c>
      <c r="D9" s="120" t="inlineStr">
        <is>
          <t>Industrials</t>
        </is>
      </c>
      <c r="E9" s="120" t="inlineStr">
        <is>
          <t>2026-06-01</t>
        </is>
      </c>
      <c r="F9" s="122" t="n">
        <v>655.45</v>
      </c>
      <c r="G9" s="122" t="n">
        <v>621.51</v>
      </c>
      <c r="H9" s="122" t="n">
        <v>400.54</v>
      </c>
      <c r="I9" s="120" t="n"/>
      <c r="J9" s="123" t="n">
        <v>0.569</v>
      </c>
      <c r="K9" s="120" t="n"/>
      <c r="L9" s="123" t="n">
        <v>0.338</v>
      </c>
      <c r="M9" s="123" t="n">
        <v>0.146</v>
      </c>
      <c r="N9" s="123" t="n">
        <v>0.037</v>
      </c>
      <c r="O9" s="124" t="n">
        <v>0.01</v>
      </c>
      <c r="P9" s="125" t="n">
        <v>99</v>
      </c>
      <c r="Q9" s="123" t="n">
        <v>1.018</v>
      </c>
      <c r="R9" s="123" t="n">
        <v>-0.278</v>
      </c>
      <c r="S9" s="126" t="n">
        <v>0.421</v>
      </c>
      <c r="T9" s="127" t="inlineStr">
        <is>
          <t>✅</t>
        </is>
      </c>
      <c r="U9" s="120" t="inlineStr">
        <is>
          <t>4/4</t>
        </is>
      </c>
      <c r="V9" s="120" t="inlineStr">
        <is>
          <t>2/3</t>
        </is>
      </c>
      <c r="W9" s="120" t="n"/>
      <c r="X9" s="128" t="n"/>
      <c r="Y9" s="159" t="inlineStr">
        <is>
          <t>👀 WATCHLIST #3</t>
        </is>
      </c>
      <c r="Z9" s="129" t="n">
        <v>609.5700000000001</v>
      </c>
      <c r="AA9" s="129" t="n">
        <v>786.54</v>
      </c>
      <c r="AB9" s="130" t="n">
        <v>473.2</v>
      </c>
      <c r="AC9" s="131" t="n">
        <v>2.9</v>
      </c>
      <c r="AD9" s="132" t="inlineStr">
        <is>
          <t>Semanal. Alerta vol &gt;500K + breakout $740.91</t>
        </is>
      </c>
      <c r="AE9" s="160" t="inlineStr">
        <is>
          <t>[1jun26] RS 99. EPS +56.9%, ROE 33.8%, FCF 3.7%, D/E 0.01. F2 4/4. Vol 421K INSUFICIENTE (&lt;1M). Precio $655 (-11.5% de máx $740.91). Target analistas -27.8% (Wall St escéptico). Etapa 2. Trigger: vol &gt;500K + breakout $740.91.</t>
        </is>
      </c>
    </row>
    <row r="10" ht="42" customHeight="1" s="72">
      <c r="A10" s="95" t="n">
        <v>4</v>
      </c>
      <c r="B10" s="94" t="inlineStr">
        <is>
          <t>COCO</t>
        </is>
      </c>
      <c r="C10" s="95" t="inlineStr">
        <is>
          <t>The Vita Coco Company, Inc.</t>
        </is>
      </c>
      <c r="D10" s="95" t="inlineStr">
        <is>
          <t>Consumer Defensive</t>
        </is>
      </c>
      <c r="E10" s="95" t="inlineStr">
        <is>
          <t>2026-06-01</t>
        </is>
      </c>
      <c r="F10" s="133" t="n">
        <v>76.2</v>
      </c>
      <c r="G10" s="133" t="n">
        <v>60.68</v>
      </c>
      <c r="H10" s="133" t="n">
        <v>51.01</v>
      </c>
      <c r="I10" s="95" t="n"/>
      <c r="J10" s="96" t="n">
        <v>0.614</v>
      </c>
      <c r="K10" s="95" t="n"/>
      <c r="L10" s="96" t="n">
        <v>0.263</v>
      </c>
      <c r="M10" s="96" t="n">
        <v>0.126</v>
      </c>
      <c r="N10" s="96" t="n">
        <v>0.011</v>
      </c>
      <c r="O10" s="97" t="n">
        <v>0.04</v>
      </c>
      <c r="P10" s="98" t="n">
        <v>93</v>
      </c>
      <c r="Q10" s="96" t="n">
        <v>0.958</v>
      </c>
      <c r="R10" s="96" t="n">
        <v>-0.014</v>
      </c>
      <c r="S10" s="99" t="n">
        <v>1.4</v>
      </c>
      <c r="T10" s="134" t="inlineStr">
        <is>
          <t>✅</t>
        </is>
      </c>
      <c r="U10" s="95" t="inlineStr">
        <is>
          <t>3/4</t>
        </is>
      </c>
      <c r="V10" s="95" t="inlineStr">
        <is>
          <t>2/3</t>
        </is>
      </c>
      <c r="W10" s="95" t="n"/>
      <c r="X10" s="100" t="n"/>
      <c r="Y10" s="157" t="inlineStr">
        <is>
          <t>👀 WATCHLIST #4</t>
        </is>
      </c>
      <c r="Z10" s="101" t="n">
        <v>70.87</v>
      </c>
      <c r="AA10" s="101" t="n">
        <v>91.44</v>
      </c>
      <c r="AB10" s="135" t="n">
        <v>75.11</v>
      </c>
      <c r="AC10" s="102" t="n">
        <v>2.9</v>
      </c>
      <c r="AD10" s="136" t="inlineStr">
        <is>
          <t>Pullback SMA50 ~$60.68. Monitorear vol</t>
        </is>
      </c>
      <c r="AE10" s="158" t="inlineStr">
        <is>
          <t>[1jun26] RS 93. EPS +61.4%, ROE 26.3%, FCF 1.1% (débil), D/E 0.04. F2 3/4. Precio $76.2 (+25.6% sobre SMA50 — sobreextendido). Vol -78.3% vs prom. Target analistas -1.4% (sin convicción). Etapa 2 tardía. Esperar pullback a SMA50 $60.68.</t>
        </is>
      </c>
    </row>
    <row r="11" ht="42" customHeight="1" s="72">
      <c r="A11" s="120" t="n">
        <v>5</v>
      </c>
      <c r="B11" s="121" t="inlineStr">
        <is>
          <t>AUPH</t>
        </is>
      </c>
      <c r="C11" s="120" t="inlineStr">
        <is>
          <t>Aurinia Pharmaceuticals Inc.</t>
        </is>
      </c>
      <c r="D11" s="120" t="inlineStr">
        <is>
          <t>Healthcare</t>
        </is>
      </c>
      <c r="E11" s="120" t="inlineStr">
        <is>
          <t>2026-06-01</t>
        </is>
      </c>
      <c r="F11" s="122" t="n">
        <v>15.31</v>
      </c>
      <c r="G11" s="122" t="n">
        <v>15.52</v>
      </c>
      <c r="H11" s="122" t="n">
        <v>14.33</v>
      </c>
      <c r="I11" s="120" t="n"/>
      <c r="J11" s="123" t="n">
        <v>0.472</v>
      </c>
      <c r="K11" s="120" t="n"/>
      <c r="L11" s="123" t="n">
        <v>0.65</v>
      </c>
      <c r="M11" s="123" t="n">
        <v>1</v>
      </c>
      <c r="N11" s="123" t="n">
        <v>0.063</v>
      </c>
      <c r="O11" s="124" t="n">
        <v>0.12</v>
      </c>
      <c r="P11" s="125" t="n">
        <v>81</v>
      </c>
      <c r="Q11" s="123" t="n">
        <v>0.594</v>
      </c>
      <c r="R11" s="123" t="n">
        <v>0.11</v>
      </c>
      <c r="S11" s="126" t="n">
        <v>1.18</v>
      </c>
      <c r="T11" s="127" t="inlineStr">
        <is>
          <t>✅</t>
        </is>
      </c>
      <c r="U11" s="120" t="inlineStr">
        <is>
          <t>4/4</t>
        </is>
      </c>
      <c r="V11" s="120" t="inlineStr">
        <is>
          <t>1/3</t>
        </is>
      </c>
      <c r="W11" s="120" t="n"/>
      <c r="X11" s="128" t="n"/>
      <c r="Y11" s="159" t="inlineStr">
        <is>
          <t>👀 WATCHLIST</t>
        </is>
      </c>
      <c r="Z11" s="129" t="n">
        <v>14.24</v>
      </c>
      <c r="AA11" s="129" t="n">
        <v>18.37</v>
      </c>
      <c r="AB11" s="130" t="n">
        <v>17</v>
      </c>
      <c r="AC11" s="131" t="n">
        <v>2.9</v>
      </c>
      <c r="AD11" s="132" t="inlineStr">
        <is>
          <t>Semanal. Activar cuando RS ≥ 85</t>
        </is>
      </c>
      <c r="AE11" s="160" t="inlineStr">
        <is>
          <t>[1jun26] RS 81 — CONDICIONAL. EPS +47.2%, Sales 24.4% (❌&lt;25%), ROE 65%, FCF 6.3%, D/E 0.12. F3 1/3 (RS bajo). Precio $15.31 (-6.8% de máx $16.42). Activar cuando RS ≥ 85 → analizar con Claude.</t>
        </is>
      </c>
    </row>
    <row r="12" ht="42" customHeight="1" s="72">
      <c r="A12" s="120" t="n">
        <v>6</v>
      </c>
      <c r="B12" s="121" t="inlineStr">
        <is>
          <t>PAYS</t>
        </is>
      </c>
      <c r="C12" s="120" t="inlineStr">
        <is>
          <t>Paysign, Inc.</t>
        </is>
      </c>
      <c r="D12" s="120" t="inlineStr">
        <is>
          <t>Technology</t>
        </is>
      </c>
      <c r="E12" s="120" t="inlineStr">
        <is>
          <t>2026-06-01</t>
        </is>
      </c>
      <c r="F12" s="122" t="n">
        <v>7.62</v>
      </c>
      <c r="G12" s="122" t="n">
        <v>6.06</v>
      </c>
      <c r="H12" s="122" t="n">
        <v>5.19</v>
      </c>
      <c r="I12" s="120" t="n"/>
      <c r="J12" s="123" t="n">
        <v>1.103</v>
      </c>
      <c r="K12" s="120" t="n"/>
      <c r="L12" s="123" t="n">
        <v>0.221</v>
      </c>
      <c r="M12" s="123" t="n">
        <v>0.114</v>
      </c>
      <c r="N12" s="123" t="n">
        <v>0.021</v>
      </c>
      <c r="O12" s="124" t="n">
        <v>0.11</v>
      </c>
      <c r="P12" s="125" t="n">
        <v>71</v>
      </c>
      <c r="Q12" s="123" t="n">
        <v>0.473</v>
      </c>
      <c r="R12" s="123" t="n">
        <v>0.306</v>
      </c>
      <c r="S12" s="126" t="n">
        <v>0.948</v>
      </c>
      <c r="T12" s="127" t="inlineStr">
        <is>
          <t>✅</t>
        </is>
      </c>
      <c r="U12" s="120" t="inlineStr">
        <is>
          <t>4/4</t>
        </is>
      </c>
      <c r="V12" s="120" t="inlineStr">
        <is>
          <t>2/3</t>
        </is>
      </c>
      <c r="W12" s="120" t="n"/>
      <c r="X12" s="128" t="n"/>
      <c r="Y12" s="159" t="inlineStr">
        <is>
          <t>👀 WATCHLIST</t>
        </is>
      </c>
      <c r="Z12" s="129" t="n">
        <v>7.09</v>
      </c>
      <c r="AA12" s="129" t="n">
        <v>9.140000000000001</v>
      </c>
      <c r="AB12" s="130" t="n">
        <v>9.949999999999999</v>
      </c>
      <c r="AC12" s="131" t="n">
        <v>2.9</v>
      </c>
      <c r="AD12" s="132" t="inlineStr">
        <is>
          <t>Semanal. Activar cuando RS ≥ 85 + vol promedio &gt;1M</t>
        </is>
      </c>
      <c r="AE12" s="160" t="inlineStr">
        <is>
          <t>[1jun26] RS 71 — CONDICIONAL. EPS +110.3%, ROE 22.1%, FCF 2.1%, D/E 0.11. F2 4/4. Vol 948K (&lt;1M). Precio $7.62 (-11% de máx $8.56). Activar cuando RS ≥ 85 Y vol promedio &gt; 1M. Trigger: breakout $8.56.</t>
        </is>
      </c>
    </row>
    <row r="13" ht="42" customHeight="1" s="72">
      <c r="A13" s="120" t="inlineStr">
        <is>
          <t>📌 LEYENDA  |  🔵 Azul = INPUTS manuales  |  ⚫ Negro = Fórmulas  |  🟢 OPERAR ≥3.5/4  |  🟡 WATCHLIST 2.5–3/4  |  🔴 NO OPERAR &lt;2.5  |  🚫 DESCARTAR: Falla F1</t>
        </is>
      </c>
      <c r="B13" s="121" t="n"/>
      <c r="C13" s="120" t="n"/>
      <c r="D13" s="120" t="n"/>
      <c r="E13" s="120" t="n"/>
      <c r="F13" s="122" t="n"/>
      <c r="G13" s="122" t="n"/>
      <c r="H13" s="122" t="n"/>
      <c r="I13" s="120" t="n"/>
      <c r="J13" s="123" t="n"/>
      <c r="K13" s="120" t="n"/>
      <c r="L13" s="123" t="n"/>
      <c r="M13" s="123" t="n"/>
      <c r="N13" s="123" t="n"/>
      <c r="O13" s="124" t="n"/>
      <c r="P13" s="125" t="n"/>
      <c r="Q13" s="123" t="n"/>
      <c r="R13" s="123" t="n"/>
      <c r="S13" s="126" t="n"/>
      <c r="T13" s="127" t="n"/>
      <c r="U13" s="120" t="n"/>
      <c r="V13" s="120" t="n"/>
      <c r="W13" s="120" t="n"/>
      <c r="X13" s="128" t="n"/>
      <c r="Y13" s="159" t="n"/>
      <c r="Z13" s="129" t="n"/>
      <c r="AA13" s="129" t="n"/>
      <c r="AB13" s="130" t="n"/>
      <c r="AC13" s="131" t="n"/>
      <c r="AD13" s="132" t="n"/>
      <c r="AE13" s="160" t="n"/>
    </row>
    <row r="14" ht="42" customHeight="1" s="72"/>
    <row r="15" ht="42" customHeight="1" s="72"/>
    <row r="16" ht="42" customHeight="1" s="72"/>
    <row r="17" ht="42" customHeight="1" s="72"/>
    <row r="18" ht="42" customHeight="1" s="72"/>
    <row r="19" ht="42" customHeight="1" s="72"/>
    <row r="20" ht="42" customHeight="1" s="72"/>
    <row r="21" ht="42" customHeight="1" s="72"/>
    <row r="22" ht="42" customHeight="1" s="72"/>
    <row r="23" ht="15.75" customHeight="1" s="72"/>
    <row r="24" ht="22" customHeight="1" s="72"/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0">
    <mergeCell ref="A4:AE4"/>
    <mergeCell ref="T5:Y5"/>
    <mergeCell ref="J5:O5"/>
    <mergeCell ref="A2:AE2"/>
    <mergeCell ref="P5:R5"/>
    <mergeCell ref="A5:E5"/>
    <mergeCell ref="AD5:AE5"/>
    <mergeCell ref="F5:I5"/>
    <mergeCell ref="A3:AE3"/>
    <mergeCell ref="Z5:AC5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2C55E"/>
    <outlinePr summaryBelow="1" summaryRight="1"/>
    <pageSetUpPr/>
  </sheetPr>
  <dimension ref="A2:F24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72" min="1" max="1"/>
    <col width="28" customWidth="1" style="72" min="2" max="2"/>
    <col width="20" customWidth="1" style="72" min="3" max="4"/>
    <col width="45" customWidth="1" style="72" min="5" max="5"/>
    <col width="35" customWidth="1" style="72" min="6" max="6"/>
    <col width="8.710000000000001" customWidth="1" style="72" min="7" max="26"/>
  </cols>
  <sheetData>
    <row r="1" ht="12" customHeight="1" s="72"/>
    <row r="2" ht="43.5" customHeight="1" s="72">
      <c r="A2" s="104" t="inlineStr">
        <is>
          <t>METODOLOGÍA CAN SLIM — Guía de criterios y umbrales</t>
        </is>
      </c>
    </row>
    <row r="3" ht="15.75" customHeight="1" s="72">
      <c r="A3" s="74" t="inlineStr">
        <is>
          <t>Basado en el método de William O'Neil (INVESTOR'S BUSINESS DAILY). Adaptado con filtros operativos.</t>
        </is>
      </c>
    </row>
    <row r="4" ht="7.5" customHeight="1" s="72">
      <c r="A4" s="75" t="n"/>
    </row>
    <row r="5" ht="27.75" customHeight="1" s="72">
      <c r="A5" s="36" t="inlineStr">
        <is>
          <t>FILTRO</t>
        </is>
      </c>
      <c r="B5" s="36" t="inlineStr">
        <is>
          <t>CRITERIO (letra CAN SLIM)</t>
        </is>
      </c>
      <c r="C5" s="36" t="inlineStr">
        <is>
          <t>UMBRAL MÍNIMO</t>
        </is>
      </c>
      <c r="D5" s="36" t="inlineStr">
        <is>
          <t>PESO</t>
        </is>
      </c>
      <c r="E5" s="36" t="inlineStr">
        <is>
          <t>CÓMO VERIFICAR</t>
        </is>
      </c>
      <c r="F5" s="36" t="inlineStr">
        <is>
          <t>SEÑALES DE ALERTA</t>
        </is>
      </c>
    </row>
    <row r="6" ht="51.75" customHeight="1" s="72">
      <c r="A6" s="37" t="inlineStr">
        <is>
          <t>F1
(oblig.)</t>
        </is>
      </c>
      <c r="B6" s="38" t="inlineStr">
        <is>
          <t>C — Current Earnings
Ganancias trimestrales</t>
        </is>
      </c>
      <c r="C6" s="39" t="inlineStr">
        <is>
          <t>EPS YoY &gt;25%
Revenue YoY &gt;20%
Beats: ≥3/4 últimos</t>
        </is>
      </c>
      <c r="D6" s="40" t="inlineStr">
        <is>
          <t>ELIMINATORIO
Falla = descartar</t>
        </is>
      </c>
      <c r="E6" s="41" t="inlineStr">
        <is>
          <t>Yahoo Finance &gt; Earnings
Script: yfinance .quarterly_earnings
Fecha: día del reporte</t>
        </is>
      </c>
      <c r="F6" s="42" t="inlineStr">
        <is>
          <t>EPS desaceleración &gt;2 trim.
Ingresos &lt;20% 2 trim. seguidos
Miss consecutivos</t>
        </is>
      </c>
    </row>
    <row r="7" ht="51.75" customHeight="1" s="72">
      <c r="A7" s="37" t="inlineStr">
        <is>
          <t>F1
(oblig.)</t>
        </is>
      </c>
      <c r="B7" s="43" t="inlineStr">
        <is>
          <t>M — Market Direction
Dirección del mercado</t>
        </is>
      </c>
      <c r="C7" s="44" t="inlineStr">
        <is>
          <t>SMA50 &gt; SMA200
(precio sobre ambas)
Tendencia alcista</t>
        </is>
      </c>
      <c r="D7" s="40" t="inlineStr">
        <is>
          <t>ELIMINATORIO
Falla = descartar</t>
        </is>
      </c>
      <c r="E7" s="45" t="inlineStr">
        <is>
          <t>TradingView / yfinance
SMA50 y SMA200 del precio
RSI &gt;50 como apoyo</t>
        </is>
      </c>
      <c r="F7" s="42" t="inlineStr">
        <is>
          <t>Death Cross (SMA50 cruza bajo)
RS Rating &lt;50
Precio bajo SMA200 &gt;1 mes</t>
        </is>
      </c>
    </row>
    <row r="8" ht="51.75" customHeight="1" s="72">
      <c r="A8" s="46" t="inlineStr">
        <is>
          <t>F2</t>
        </is>
      </c>
      <c r="B8" s="38" t="inlineStr">
        <is>
          <t>A — Annual Earnings
Ganancias anuales</t>
        </is>
      </c>
      <c r="C8" s="39" t="inlineStr">
        <is>
          <t>EPS CAGR 3–5Y &gt;15%
Crecimiento consistente
Sin pérdidas en últimos 3Y</t>
        </is>
      </c>
      <c r="D8" s="40" t="inlineStr">
        <is>
          <t>1/4 del score F2</t>
        </is>
      </c>
      <c r="E8" s="41" t="inlineStr">
        <is>
          <t>Macrotrends.net / Stockanalysis
EPS histórico 5 años
CAGR calculado</t>
        </is>
      </c>
      <c r="F8" s="42" t="inlineStr">
        <is>
          <t>EPS CAGR &lt;10%
Pérdida en algún año
Desaceleración anual</t>
        </is>
      </c>
    </row>
    <row r="9" ht="51.75" customHeight="1" s="72">
      <c r="A9" s="46" t="inlineStr">
        <is>
          <t>F2</t>
        </is>
      </c>
      <c r="B9" s="43" t="inlineStr">
        <is>
          <t>N — New (producto/catalizador)
Nuevo</t>
        </is>
      </c>
      <c r="C9" s="44" t="inlineStr">
        <is>
          <t>Lanzamiento producto/IA
Expansión mercado nuevo
Cambio modelo negocio</t>
        </is>
      </c>
      <c r="D9" s="40" t="inlineStr">
        <is>
          <t>1/4 del score F2</t>
        </is>
      </c>
      <c r="E9" s="45" t="inlineStr">
        <is>
          <t>Press releases / IR
Earnings call transcripts
10-K sección de estrategia</t>
        </is>
      </c>
      <c r="F9" s="42" t="inlineStr">
        <is>
          <t>Sin novedades &gt;2 años
Competidor con ventaja
Regulación adversa</t>
        </is>
      </c>
    </row>
    <row r="10" ht="51.75" customHeight="1" s="72">
      <c r="A10" s="46" t="inlineStr">
        <is>
          <t>F2</t>
        </is>
      </c>
      <c r="B10" s="47" t="inlineStr">
        <is>
          <t>ROIC/ROE
Calidad del negocio</t>
        </is>
      </c>
      <c r="C10" s="48" t="inlineStr">
        <is>
          <t>ROE &gt;15%
ROIC &gt;12%
Net Margin &gt;10%</t>
        </is>
      </c>
      <c r="D10" s="40" t="inlineStr">
        <is>
          <t>1/4 del score F2</t>
        </is>
      </c>
      <c r="E10" s="49" t="inlineStr">
        <is>
          <t>Macrotrends / GuruFocus
ROE, ROIC, márgenes
Comparar con sector</t>
        </is>
      </c>
      <c r="F10" s="42" t="inlineStr">
        <is>
          <t>ROE &lt;10% sin mejora
Márgenes comprimidos
Alta SBC distorsiona ROE</t>
        </is>
      </c>
    </row>
    <row r="11" ht="51.75" customHeight="1" s="72">
      <c r="A11" s="46" t="inlineStr">
        <is>
          <t>F2</t>
        </is>
      </c>
      <c r="B11" s="43" t="inlineStr">
        <is>
          <t>FCF / Deuda
Salud financiera</t>
        </is>
      </c>
      <c r="C11" s="44" t="inlineStr">
        <is>
          <t>FCF Yield &gt;3%
O FCF/NI &gt;80%
Debt/Equity &lt;1</t>
        </is>
      </c>
      <c r="D11" s="40" t="inlineStr">
        <is>
          <t>1/4 del score F2</t>
        </is>
      </c>
      <c r="E11" s="45" t="inlineStr">
        <is>
          <t>Stockanalysis.com
Cash Flow Statement
Debt to Equity ratio</t>
        </is>
      </c>
      <c r="F11" s="42" t="inlineStr">
        <is>
          <t>FCF negativo &gt;1 año
Deuda creciente sin EBITDA
Capex &gt;100% FCF</t>
        </is>
      </c>
    </row>
    <row r="12" ht="51.75" customHeight="1" s="72">
      <c r="A12" s="50" t="inlineStr">
        <is>
          <t>F3</t>
        </is>
      </c>
      <c r="B12" s="38" t="inlineStr">
        <is>
          <t>S — Supply &amp; Demand
Demanda institucional</t>
        </is>
      </c>
      <c r="C12" s="39" t="inlineStr">
        <is>
          <t>Inst. Ownership &gt;40%
Compra neta reciente
Float reducido positivo</t>
        </is>
      </c>
      <c r="D12" s="40" t="inlineStr">
        <is>
          <t>1/3 del score F3</t>
        </is>
      </c>
      <c r="E12" s="41" t="inlineStr">
        <is>
          <t>Yahoo Finance &gt; Holders
Whalewisdom.com
13F filings SEC</t>
        </is>
      </c>
      <c r="F12" s="42" t="inlineStr">
        <is>
          <t>Venta neta institucional
Ownership cayendo &gt;2 trim.
Hedge funds saliendo</t>
        </is>
      </c>
    </row>
    <row r="13" ht="51.75" customHeight="1" s="72">
      <c r="A13" s="50" t="inlineStr">
        <is>
          <t>F3</t>
        </is>
      </c>
      <c r="B13" s="43" t="inlineStr">
        <is>
          <t>L — Leader or Laggard
RS Rating</t>
        </is>
      </c>
      <c r="C13" s="44" t="inlineStr">
        <is>
          <t>RS Rating &gt;80
Retorno 1Y vs SPY &gt;0
Top 20% del sector</t>
        </is>
      </c>
      <c r="D13" s="40" t="inlineStr">
        <is>
          <t>1/3 del score F3</t>
        </is>
      </c>
      <c r="E13" s="45" t="inlineStr">
        <is>
          <t>IBD RS Rating (pago)
Proxy: retorno 1Y vs SPY
Comparar peers sector</t>
        </is>
      </c>
      <c r="F13" s="42" t="inlineStr">
        <is>
          <t>RS Rating &lt;50
Underperform sector &gt;6m
Nuevos máximos vs mínimos</t>
        </is>
      </c>
    </row>
    <row r="14" ht="51.75" customHeight="1" s="72">
      <c r="A14" s="50" t="inlineStr">
        <is>
          <t>F3</t>
        </is>
      </c>
      <c r="B14" s="38" t="inlineStr">
        <is>
          <t>I — Institutional Sponsorship
Patrocinio inst.</t>
        </is>
      </c>
      <c r="C14" s="39" t="inlineStr">
        <is>
          <t>Target analistas &gt;30% upside
≥5 analistas cubriendo
Buy consensus</t>
        </is>
      </c>
      <c r="D14" s="40" t="inlineStr">
        <is>
          <t>1/3 del score F3</t>
        </is>
      </c>
      <c r="E14" s="41" t="inlineStr">
        <is>
          <t>Yahoo Finance &gt; Analysis
SeekingAlpha / Tipranks
Consensus price target</t>
        </is>
      </c>
      <c r="F14" s="42" t="inlineStr">
        <is>
          <t>Rebajas consecutivas
Price target bajando
Analistas sin cobertura</t>
        </is>
      </c>
    </row>
    <row r="15" ht="51.75" customHeight="1" s="72">
      <c r="A15" s="12" t="inlineStr">
        <is>
          <t>F4</t>
        </is>
      </c>
      <c r="B15" s="43" t="inlineStr">
        <is>
          <t>Volumen y liquidez
Confirmación</t>
        </is>
      </c>
      <c r="C15" s="44" t="inlineStr">
        <is>
          <t>Avg Vol 20d &gt;1M acciones
Vol hoy &gt;500K
Breakout con vol &gt;150% avg</t>
        </is>
      </c>
      <c r="D15" s="40" t="inlineStr">
        <is>
          <t>Confirmación técnica</t>
        </is>
      </c>
      <c r="E15" s="45" t="inlineStr">
        <is>
          <t>Yahoo Finance &gt; Statistics
TradingView volume bars
Comparar 20d vs 50d avg</t>
        </is>
      </c>
      <c r="F15" s="42" t="inlineStr">
        <is>
          <t>Vol seco en rally
Liquidity gap amplio
Spread bid-ask &gt;1%</t>
        </is>
      </c>
    </row>
    <row r="17" ht="30" customHeight="1" s="72">
      <c r="A17" s="105" t="inlineStr">
        <is>
          <t>PROCESO DE SELECCIÓN — Flujo de decisión paso a paso</t>
        </is>
      </c>
    </row>
    <row r="18" ht="45.75" customHeight="1" s="72">
      <c r="A18" s="52" t="inlineStr">
        <is>
          <t>PASO 1</t>
        </is>
      </c>
      <c r="B18" s="53" t="inlineStr">
        <is>
          <t>SCREENER INICIAL</t>
        </is>
      </c>
      <c r="C18" s="106" t="inlineStr">
        <is>
          <t>Filtrar universo de acciones con revenue &gt;20% YoY y EPS creciente. Herramientas: Finviz, Yahoo Finance Screener, TradingView. Objetivo: reducir de miles a 20–50 candidatos.</t>
        </is>
      </c>
      <c r="D18" s="76" t="n"/>
      <c r="E18" s="76" t="n"/>
      <c r="F18" s="77" t="n"/>
    </row>
    <row r="19" ht="45.75" customHeight="1" s="72">
      <c r="A19" s="55" t="inlineStr">
        <is>
          <t>PASO 2</t>
        </is>
      </c>
      <c r="B19" s="56" t="inlineStr">
        <is>
          <t>FILTRO F1 — OBLIGATORIO (técnico + C)</t>
        </is>
      </c>
      <c r="C19" s="107" t="inlineStr">
        <is>
          <t>Verificar SMA50&gt;SMA200 Y revenue &gt;20%. Si FALLA cualquiera → DESCARTAR inmediatamente. Este paso elimina acciones en tendencia bajista sin importar los fundamentos.</t>
        </is>
      </c>
      <c r="D19" s="76" t="n"/>
      <c r="E19" s="76" t="n"/>
      <c r="F19" s="77" t="n"/>
    </row>
    <row r="20" ht="45.75" customHeight="1" s="72">
      <c r="A20" s="52" t="inlineStr">
        <is>
          <t>PASO 3</t>
        </is>
      </c>
      <c r="B20" s="53" t="inlineStr">
        <is>
          <t>FILTRO F2 — CALIDAD (A, N, ROE, FCF)</t>
        </is>
      </c>
      <c r="C20" s="106" t="inlineStr">
        <is>
          <t>Evaluar los 4 sub-criterios. Necesitas ≥3/4 para continuar. Si score &lt;2/4 → no operar. Buscar negocios con ventaja competitiva real.</t>
        </is>
      </c>
      <c r="D20" s="76" t="n"/>
      <c r="E20" s="76" t="n"/>
      <c r="F20" s="77" t="n"/>
    </row>
    <row r="21" ht="45.75" customHeight="1" s="72">
      <c r="A21" s="55" t="inlineStr">
        <is>
          <t>PASO 4</t>
        </is>
      </c>
      <c r="B21" s="56" t="inlineStr">
        <is>
          <t>FILTRO F3 — INSTITUCIONAL (S, L, I)</t>
        </is>
      </c>
      <c r="C21" s="107" t="inlineStr">
        <is>
          <t>RS Rating &gt;80 es crítico. Verifica ownership institucional &gt;40% y upside analistas &gt;30%. El dinero institucional mueve los precios — seguirlo es clave.</t>
        </is>
      </c>
      <c r="D21" s="76" t="n"/>
      <c r="E21" s="76" t="n"/>
      <c r="F21" s="77" t="n"/>
    </row>
    <row r="22" ht="45.75" customHeight="1" s="72">
      <c r="A22" s="52" t="inlineStr">
        <is>
          <t>PASO 5</t>
        </is>
      </c>
      <c r="B22" s="53" t="inlineStr">
        <is>
          <t>FILTRO F4 — VOLUMEN</t>
        </is>
      </c>
      <c r="C22" s="106" t="inlineStr">
        <is>
          <t>Confirmar liquidez mínima (&gt;1M acc/día). En breakout, el volumen debe ser &gt;150% del promedio. Sin volumen, el breakout falla estadísticamente.</t>
        </is>
      </c>
      <c r="D22" s="76" t="n"/>
      <c r="E22" s="76" t="n"/>
      <c r="F22" s="77" t="n"/>
    </row>
    <row r="23" ht="45.75" customHeight="1" s="72">
      <c r="A23" s="55" t="inlineStr">
        <is>
          <t>PASO 6</t>
        </is>
      </c>
      <c r="B23" s="56" t="inlineStr">
        <is>
          <t>SIZING Y ENTRADA</t>
        </is>
      </c>
      <c r="C23" s="107" t="inlineStr">
        <is>
          <t>Riesgo máx 2% capital por operación. Stop loss: -7% desde entrada. Entrar en 2–3 tramos. Primer tramo al breakout con volumen. Target 1: +20%. Target 2: precio analistas. Calcular R/R mínimo 2:1.</t>
        </is>
      </c>
      <c r="D23" s="76" t="n"/>
      <c r="E23" s="76" t="n"/>
      <c r="F23" s="77" t="n"/>
    </row>
    <row r="24" ht="45.75" customHeight="1" s="72">
      <c r="A24" s="52" t="inlineStr">
        <is>
          <t>PASO 7</t>
        </is>
      </c>
      <c r="B24" s="53" t="inlineStr">
        <is>
          <t>SEGUIMIENTO SEMANAL</t>
        </is>
      </c>
      <c r="C24" s="106" t="inlineStr">
        <is>
          <t>Revisar cada lunes: ¿sigue SMA50&gt;SMA200?, ¿RS Rating mantiene &gt;80?, ¿earnings próximos? Si algún criterio F1 falla → cerrar posición. Registrar en columna Notas y actualizar Próxima Revisión.</t>
        </is>
      </c>
      <c r="D24" s="76" t="n"/>
      <c r="E24" s="76" t="n"/>
      <c r="F24" s="77" t="n"/>
    </row>
    <row r="25" ht="15.75" customHeight="1" s="72"/>
    <row r="26" ht="15.75" customHeight="1" s="72"/>
    <row r="27" ht="15.75" customHeight="1" s="72"/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11">
    <mergeCell ref="C22:F22"/>
    <mergeCell ref="A2:F2"/>
    <mergeCell ref="C18:F18"/>
    <mergeCell ref="C23:F23"/>
    <mergeCell ref="C20:F20"/>
    <mergeCell ref="C21:F21"/>
    <mergeCell ref="A17:F17"/>
    <mergeCell ref="A4:F4"/>
    <mergeCell ref="A3:F3"/>
    <mergeCell ref="C19:F19"/>
    <mergeCell ref="C24:F24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EAB308"/>
    <outlinePr summaryBelow="1" summaryRight="1"/>
    <pageSetUpPr/>
  </sheetPr>
  <dimension ref="A2:N27"/>
  <sheetViews>
    <sheetView showGridLines="0" workbookViewId="0">
      <selection activeCell="A1" sqref="A1"/>
    </sheetView>
  </sheetViews>
  <sheetFormatPr baseColWidth="8" defaultColWidth="14.43" defaultRowHeight="15" customHeight="1"/>
  <cols>
    <col width="5" customWidth="1" style="72" min="1" max="1"/>
    <col width="10" customWidth="1" style="72" min="2" max="2"/>
    <col width="12" customWidth="1" style="72" min="3" max="12"/>
    <col width="10" customWidth="1" style="72" min="13" max="13"/>
    <col width="18" customWidth="1" style="72" min="14" max="14"/>
    <col width="8.710000000000001" customWidth="1" style="72" min="15" max="26"/>
  </cols>
  <sheetData>
    <row r="1" ht="12" customHeight="1" s="72"/>
    <row r="2" ht="39.75" customHeight="1" s="72">
      <c r="A2" s="108" t="inlineStr">
        <is>
          <t>HISTORIAL DE OPERACIONES — Seguimiento de trades ejecutados</t>
        </is>
      </c>
    </row>
    <row r="3" ht="7.5" customHeight="1" s="72">
      <c r="A3" s="75" t="n"/>
    </row>
    <row r="4" ht="31.5" customHeight="1" s="72">
      <c r="A4" s="59" t="inlineStr">
        <is>
          <t>N°</t>
        </is>
      </c>
      <c r="B4" s="59" t="inlineStr">
        <is>
          <t>TICKER</t>
        </is>
      </c>
      <c r="C4" s="59" t="inlineStr">
        <is>
          <t>FECHA
ENTRADA</t>
        </is>
      </c>
      <c r="D4" s="59" t="inlineStr">
        <is>
          <t>PRECIO
ENTRADA</t>
        </is>
      </c>
      <c r="E4" s="59" t="inlineStr">
        <is>
          <t>ACCIONES</t>
        </is>
      </c>
      <c r="F4" s="59" t="inlineStr">
        <is>
          <t>CAPITAL
USADO</t>
        </is>
      </c>
      <c r="G4" s="59" t="inlineStr">
        <is>
          <t>STOP
LOSS</t>
        </is>
      </c>
      <c r="H4" s="59" t="inlineStr">
        <is>
          <t>TARGET 1</t>
        </is>
      </c>
      <c r="I4" s="59" t="inlineStr">
        <is>
          <t>TARGET 2</t>
        </is>
      </c>
      <c r="J4" s="59" t="inlineStr">
        <is>
          <t>FECHA
SALIDA</t>
        </is>
      </c>
      <c r="K4" s="59" t="inlineStr">
        <is>
          <t>PRECIO
SALIDA</t>
        </is>
      </c>
      <c r="L4" s="59" t="inlineStr">
        <is>
          <t>P&amp;L ($)</t>
        </is>
      </c>
      <c r="M4" s="59" t="inlineStr">
        <is>
          <t>P&amp;L (%)</t>
        </is>
      </c>
      <c r="N4" s="59" t="inlineStr">
        <is>
          <t>RAZÓN SALIDA</t>
        </is>
      </c>
    </row>
    <row r="5" ht="19.5" customHeight="1" s="72">
      <c r="A5" s="60" t="n"/>
      <c r="B5" s="61" t="n"/>
      <c r="C5" s="60" t="n"/>
      <c r="D5" s="60" t="n"/>
      <c r="E5" s="60" t="n"/>
      <c r="F5" s="62">
        <f>IF(D5&lt;&gt;"",D5*E5,"")</f>
        <v/>
      </c>
      <c r="G5" s="62">
        <f>IF(D5&lt;&gt;"",D5*0.93,"")</f>
        <v/>
      </c>
      <c r="H5" s="62">
        <f>IF(D5&lt;&gt;"",D5*1.2,"")</f>
        <v/>
      </c>
      <c r="I5" s="60" t="n"/>
      <c r="J5" s="60" t="n"/>
      <c r="K5" s="60" t="n"/>
      <c r="L5" s="63">
        <f>IF(K5&lt;&gt;"",(K5-D5)*E5,"")</f>
        <v/>
      </c>
      <c r="M5" s="64">
        <f>IF(K5&lt;&gt;"",(K5-D5)/D5,"")</f>
        <v/>
      </c>
      <c r="N5" s="60" t="n"/>
    </row>
    <row r="6" ht="19.5" customHeight="1" s="72">
      <c r="A6" s="65" t="n"/>
      <c r="B6" s="66" t="n"/>
      <c r="C6" s="65" t="n"/>
      <c r="D6" s="65" t="n"/>
      <c r="E6" s="65" t="n"/>
      <c r="F6" s="67">
        <f>IF(D6&lt;&gt;"",D6*E6,"")</f>
        <v/>
      </c>
      <c r="G6" s="67">
        <f>IF(D6&lt;&gt;"",D6*0.93,"")</f>
        <v/>
      </c>
      <c r="H6" s="67">
        <f>IF(D6&lt;&gt;"",D6*1.2,"")</f>
        <v/>
      </c>
      <c r="I6" s="65" t="n"/>
      <c r="J6" s="65" t="n"/>
      <c r="K6" s="65" t="n"/>
      <c r="L6" s="68">
        <f>IF(K6&lt;&gt;"",(K6-D6)*E6,"")</f>
        <v/>
      </c>
      <c r="M6" s="69">
        <f>IF(K6&lt;&gt;"",(K6-D6)/D6,"")</f>
        <v/>
      </c>
      <c r="N6" s="65" t="n"/>
    </row>
    <row r="7" ht="19.5" customHeight="1" s="72">
      <c r="A7" s="60" t="n"/>
      <c r="B7" s="61" t="n"/>
      <c r="C7" s="60" t="n"/>
      <c r="D7" s="60" t="n"/>
      <c r="E7" s="60" t="n"/>
      <c r="F7" s="62">
        <f>IF(D7&lt;&gt;"",D7*E7,"")</f>
        <v/>
      </c>
      <c r="G7" s="62">
        <f>IF(D7&lt;&gt;"",D7*0.93,"")</f>
        <v/>
      </c>
      <c r="H7" s="62">
        <f>IF(D7&lt;&gt;"",D7*1.2,"")</f>
        <v/>
      </c>
      <c r="I7" s="60" t="n"/>
      <c r="J7" s="60" t="n"/>
      <c r="K7" s="60" t="n"/>
      <c r="L7" s="63">
        <f>IF(K7&lt;&gt;"",(K7-D7)*E7,"")</f>
        <v/>
      </c>
      <c r="M7" s="64">
        <f>IF(K7&lt;&gt;"",(K7-D7)/D7,"")</f>
        <v/>
      </c>
      <c r="N7" s="60" t="n"/>
    </row>
    <row r="8" ht="19.5" customHeight="1" s="72">
      <c r="A8" s="65" t="n"/>
      <c r="B8" s="66" t="n"/>
      <c r="C8" s="65" t="n"/>
      <c r="D8" s="65" t="n"/>
      <c r="E8" s="65" t="n"/>
      <c r="F8" s="67">
        <f>IF(D8&lt;&gt;"",D8*E8,"")</f>
        <v/>
      </c>
      <c r="G8" s="67">
        <f>IF(D8&lt;&gt;"",D8*0.93,"")</f>
        <v/>
      </c>
      <c r="H8" s="67">
        <f>IF(D8&lt;&gt;"",D8*1.2,"")</f>
        <v/>
      </c>
      <c r="I8" s="65" t="n"/>
      <c r="J8" s="65" t="n"/>
      <c r="K8" s="65" t="n"/>
      <c r="L8" s="68">
        <f>IF(K8&lt;&gt;"",(K8-D8)*E8,"")</f>
        <v/>
      </c>
      <c r="M8" s="69">
        <f>IF(K8&lt;&gt;"",(K8-D8)/D8,"")</f>
        <v/>
      </c>
      <c r="N8" s="65" t="n"/>
    </row>
    <row r="9" ht="19.5" customHeight="1" s="72">
      <c r="A9" s="60" t="n"/>
      <c r="B9" s="61" t="n"/>
      <c r="C9" s="60" t="n"/>
      <c r="D9" s="60" t="n"/>
      <c r="E9" s="60" t="n"/>
      <c r="F9" s="62">
        <f>IF(D9&lt;&gt;"",D9*E9,"")</f>
        <v/>
      </c>
      <c r="G9" s="62">
        <f>IF(D9&lt;&gt;"",D9*0.93,"")</f>
        <v/>
      </c>
      <c r="H9" s="62">
        <f>IF(D9&lt;&gt;"",D9*1.2,"")</f>
        <v/>
      </c>
      <c r="I9" s="60" t="n"/>
      <c r="J9" s="60" t="n"/>
      <c r="K9" s="60" t="n"/>
      <c r="L9" s="63">
        <f>IF(K9&lt;&gt;"",(K9-D9)*E9,"")</f>
        <v/>
      </c>
      <c r="M9" s="64">
        <f>IF(K9&lt;&gt;"",(K9-D9)/D9,"")</f>
        <v/>
      </c>
      <c r="N9" s="60" t="n"/>
    </row>
    <row r="10" ht="19.5" customHeight="1" s="72">
      <c r="A10" s="65" t="n"/>
      <c r="B10" s="66" t="n"/>
      <c r="C10" s="65" t="n"/>
      <c r="D10" s="65" t="n"/>
      <c r="E10" s="65" t="n"/>
      <c r="F10" s="67">
        <f>IF(D10&lt;&gt;"",D10*E10,"")</f>
        <v/>
      </c>
      <c r="G10" s="67">
        <f>IF(D10&lt;&gt;"",D10*0.93,"")</f>
        <v/>
      </c>
      <c r="H10" s="67">
        <f>IF(D10&lt;&gt;"",D10*1.2,"")</f>
        <v/>
      </c>
      <c r="I10" s="65" t="n"/>
      <c r="J10" s="65" t="n"/>
      <c r="K10" s="65" t="n"/>
      <c r="L10" s="68">
        <f>IF(K10&lt;&gt;"",(K10-D10)*E10,"")</f>
        <v/>
      </c>
      <c r="M10" s="69">
        <f>IF(K10&lt;&gt;"",(K10-D10)/D10,"")</f>
        <v/>
      </c>
      <c r="N10" s="65" t="n"/>
    </row>
    <row r="11" ht="19.5" customHeight="1" s="72">
      <c r="A11" s="60" t="n"/>
      <c r="B11" s="61" t="n"/>
      <c r="C11" s="60" t="n"/>
      <c r="D11" s="60" t="n"/>
      <c r="E11" s="60" t="n"/>
      <c r="F11" s="62">
        <f>IF(D11&lt;&gt;"",D11*E11,"")</f>
        <v/>
      </c>
      <c r="G11" s="62">
        <f>IF(D11&lt;&gt;"",D11*0.93,"")</f>
        <v/>
      </c>
      <c r="H11" s="62">
        <f>IF(D11&lt;&gt;"",D11*1.2,"")</f>
        <v/>
      </c>
      <c r="I11" s="60" t="n"/>
      <c r="J11" s="60" t="n"/>
      <c r="K11" s="60" t="n"/>
      <c r="L11" s="63">
        <f>IF(K11&lt;&gt;"",(K11-D11)*E11,"")</f>
        <v/>
      </c>
      <c r="M11" s="64">
        <f>IF(K11&lt;&gt;"",(K11-D11)/D11,"")</f>
        <v/>
      </c>
      <c r="N11" s="60" t="n"/>
    </row>
    <row r="12" ht="19.5" customHeight="1" s="72">
      <c r="A12" s="65" t="n"/>
      <c r="B12" s="66" t="n"/>
      <c r="C12" s="65" t="n"/>
      <c r="D12" s="65" t="n"/>
      <c r="E12" s="65" t="n"/>
      <c r="F12" s="67">
        <f>IF(D12&lt;&gt;"",D12*E12,"")</f>
        <v/>
      </c>
      <c r="G12" s="67">
        <f>IF(D12&lt;&gt;"",D12*0.93,"")</f>
        <v/>
      </c>
      <c r="H12" s="67">
        <f>IF(D12&lt;&gt;"",D12*1.2,"")</f>
        <v/>
      </c>
      <c r="I12" s="65" t="n"/>
      <c r="J12" s="65" t="n"/>
      <c r="K12" s="65" t="n"/>
      <c r="L12" s="68">
        <f>IF(K12&lt;&gt;"",(K12-D12)*E12,"")</f>
        <v/>
      </c>
      <c r="M12" s="69">
        <f>IF(K12&lt;&gt;"",(K12-D12)/D12,"")</f>
        <v/>
      </c>
      <c r="N12" s="65" t="n"/>
    </row>
    <row r="13" ht="19.5" customHeight="1" s="72">
      <c r="A13" s="60" t="n"/>
      <c r="B13" s="61" t="n"/>
      <c r="C13" s="60" t="n"/>
      <c r="D13" s="60" t="n"/>
      <c r="E13" s="60" t="n"/>
      <c r="F13" s="62">
        <f>IF(D13&lt;&gt;"",D13*E13,"")</f>
        <v/>
      </c>
      <c r="G13" s="62">
        <f>IF(D13&lt;&gt;"",D13*0.93,"")</f>
        <v/>
      </c>
      <c r="H13" s="62">
        <f>IF(D13&lt;&gt;"",D13*1.2,"")</f>
        <v/>
      </c>
      <c r="I13" s="60" t="n"/>
      <c r="J13" s="60" t="n"/>
      <c r="K13" s="60" t="n"/>
      <c r="L13" s="63">
        <f>IF(K13&lt;&gt;"",(K13-D13)*E13,"")</f>
        <v/>
      </c>
      <c r="M13" s="64">
        <f>IF(K13&lt;&gt;"",(K13-D13)/D13,"")</f>
        <v/>
      </c>
      <c r="N13" s="60" t="n"/>
    </row>
    <row r="14" ht="19.5" customHeight="1" s="72">
      <c r="A14" s="65" t="n"/>
      <c r="B14" s="66" t="n"/>
      <c r="C14" s="65" t="n"/>
      <c r="D14" s="65" t="n"/>
      <c r="E14" s="65" t="n"/>
      <c r="F14" s="67">
        <f>IF(D14&lt;&gt;"",D14*E14,"")</f>
        <v/>
      </c>
      <c r="G14" s="67">
        <f>IF(D14&lt;&gt;"",D14*0.93,"")</f>
        <v/>
      </c>
      <c r="H14" s="67">
        <f>IF(D14&lt;&gt;"",D14*1.2,"")</f>
        <v/>
      </c>
      <c r="I14" s="65" t="n"/>
      <c r="J14" s="65" t="n"/>
      <c r="K14" s="65" t="n"/>
      <c r="L14" s="68">
        <f>IF(K14&lt;&gt;"",(K14-D14)*E14,"")</f>
        <v/>
      </c>
      <c r="M14" s="69">
        <f>IF(K14&lt;&gt;"",(K14-D14)/D14,"")</f>
        <v/>
      </c>
      <c r="N14" s="65" t="n"/>
    </row>
    <row r="15" ht="19.5" customHeight="1" s="72">
      <c r="A15" s="60" t="n"/>
      <c r="B15" s="61" t="n"/>
      <c r="C15" s="60" t="n"/>
      <c r="D15" s="60" t="n"/>
      <c r="E15" s="60" t="n"/>
      <c r="F15" s="62">
        <f>IF(D15&lt;&gt;"",D15*E15,"")</f>
        <v/>
      </c>
      <c r="G15" s="62">
        <f>IF(D15&lt;&gt;"",D15*0.93,"")</f>
        <v/>
      </c>
      <c r="H15" s="62">
        <f>IF(D15&lt;&gt;"",D15*1.2,"")</f>
        <v/>
      </c>
      <c r="I15" s="60" t="n"/>
      <c r="J15" s="60" t="n"/>
      <c r="K15" s="60" t="n"/>
      <c r="L15" s="63">
        <f>IF(K15&lt;&gt;"",(K15-D15)*E15,"")</f>
        <v/>
      </c>
      <c r="M15" s="64">
        <f>IF(K15&lt;&gt;"",(K15-D15)/D15,"")</f>
        <v/>
      </c>
      <c r="N15" s="60" t="n"/>
    </row>
    <row r="16" ht="19.5" customHeight="1" s="72">
      <c r="A16" s="65" t="n"/>
      <c r="B16" s="66" t="n"/>
      <c r="C16" s="65" t="n"/>
      <c r="D16" s="65" t="n"/>
      <c r="E16" s="65" t="n"/>
      <c r="F16" s="67">
        <f>IF(D16&lt;&gt;"",D16*E16,"")</f>
        <v/>
      </c>
      <c r="G16" s="67">
        <f>IF(D16&lt;&gt;"",D16*0.93,"")</f>
        <v/>
      </c>
      <c r="H16" s="67">
        <f>IF(D16&lt;&gt;"",D16*1.2,"")</f>
        <v/>
      </c>
      <c r="I16" s="65" t="n"/>
      <c r="J16" s="65" t="n"/>
      <c r="K16" s="65" t="n"/>
      <c r="L16" s="68">
        <f>IF(K16&lt;&gt;"",(K16-D16)*E16,"")</f>
        <v/>
      </c>
      <c r="M16" s="69">
        <f>IF(K16&lt;&gt;"",(K16-D16)/D16,"")</f>
        <v/>
      </c>
      <c r="N16" s="65" t="n"/>
    </row>
    <row r="17" ht="19.5" customHeight="1" s="72">
      <c r="A17" s="60" t="n"/>
      <c r="B17" s="61" t="n"/>
      <c r="C17" s="60" t="n"/>
      <c r="D17" s="60" t="n"/>
      <c r="E17" s="60" t="n"/>
      <c r="F17" s="62">
        <f>IF(D17&lt;&gt;"",D17*E17,"")</f>
        <v/>
      </c>
      <c r="G17" s="62">
        <f>IF(D17&lt;&gt;"",D17*0.93,"")</f>
        <v/>
      </c>
      <c r="H17" s="62">
        <f>IF(D17&lt;&gt;"",D17*1.2,"")</f>
        <v/>
      </c>
      <c r="I17" s="60" t="n"/>
      <c r="J17" s="60" t="n"/>
      <c r="K17" s="60" t="n"/>
      <c r="L17" s="63">
        <f>IF(K17&lt;&gt;"",(K17-D17)*E17,"")</f>
        <v/>
      </c>
      <c r="M17" s="64">
        <f>IF(K17&lt;&gt;"",(K17-D17)/D17,"")</f>
        <v/>
      </c>
      <c r="N17" s="60" t="n"/>
    </row>
    <row r="18" ht="19.5" customHeight="1" s="72">
      <c r="A18" s="65" t="n"/>
      <c r="B18" s="66" t="n"/>
      <c r="C18" s="65" t="n"/>
      <c r="D18" s="65" t="n"/>
      <c r="E18" s="65" t="n"/>
      <c r="F18" s="67">
        <f>IF(D18&lt;&gt;"",D18*E18,"")</f>
        <v/>
      </c>
      <c r="G18" s="67">
        <f>IF(D18&lt;&gt;"",D18*0.93,"")</f>
        <v/>
      </c>
      <c r="H18" s="67">
        <f>IF(D18&lt;&gt;"",D18*1.2,"")</f>
        <v/>
      </c>
      <c r="I18" s="65" t="n"/>
      <c r="J18" s="65" t="n"/>
      <c r="K18" s="65" t="n"/>
      <c r="L18" s="68">
        <f>IF(K18&lt;&gt;"",(K18-D18)*E18,"")</f>
        <v/>
      </c>
      <c r="M18" s="69">
        <f>IF(K18&lt;&gt;"",(K18-D18)/D18,"")</f>
        <v/>
      </c>
      <c r="N18" s="65" t="n"/>
    </row>
    <row r="19" ht="19.5" customHeight="1" s="72">
      <c r="A19" s="60" t="n"/>
      <c r="B19" s="61" t="n"/>
      <c r="C19" s="60" t="n"/>
      <c r="D19" s="60" t="n"/>
      <c r="E19" s="60" t="n"/>
      <c r="F19" s="62">
        <f>IF(D19&lt;&gt;"",D19*E19,"")</f>
        <v/>
      </c>
      <c r="G19" s="62">
        <f>IF(D19&lt;&gt;"",D19*0.93,"")</f>
        <v/>
      </c>
      <c r="H19" s="62">
        <f>IF(D19&lt;&gt;"",D19*1.2,"")</f>
        <v/>
      </c>
      <c r="I19" s="60" t="n"/>
      <c r="J19" s="60" t="n"/>
      <c r="K19" s="60" t="n"/>
      <c r="L19" s="63">
        <f>IF(K19&lt;&gt;"",(K19-D19)*E19,"")</f>
        <v/>
      </c>
      <c r="M19" s="64">
        <f>IF(K19&lt;&gt;"",(K19-D19)/D19,"")</f>
        <v/>
      </c>
      <c r="N19" s="60" t="n"/>
    </row>
    <row r="20" ht="19.5" customHeight="1" s="72">
      <c r="A20" s="65" t="n"/>
      <c r="B20" s="66" t="n"/>
      <c r="C20" s="65" t="n"/>
      <c r="D20" s="65" t="n"/>
      <c r="E20" s="65" t="n"/>
      <c r="F20" s="67">
        <f>IF(D20&lt;&gt;"",D20*E20,"")</f>
        <v/>
      </c>
      <c r="G20" s="67">
        <f>IF(D20&lt;&gt;"",D20*0.93,"")</f>
        <v/>
      </c>
      <c r="H20" s="67">
        <f>IF(D20&lt;&gt;"",D20*1.2,"")</f>
        <v/>
      </c>
      <c r="I20" s="65" t="n"/>
      <c r="J20" s="65" t="n"/>
      <c r="K20" s="65" t="n"/>
      <c r="L20" s="68">
        <f>IF(K20&lt;&gt;"",(K20-D20)*E20,"")</f>
        <v/>
      </c>
      <c r="M20" s="69">
        <f>IF(K20&lt;&gt;"",(K20-D20)/D20,"")</f>
        <v/>
      </c>
      <c r="N20" s="65" t="n"/>
    </row>
    <row r="21" ht="19.5" customHeight="1" s="72">
      <c r="A21" s="60" t="n"/>
      <c r="B21" s="61" t="n"/>
      <c r="C21" s="60" t="n"/>
      <c r="D21" s="60" t="n"/>
      <c r="E21" s="60" t="n"/>
      <c r="F21" s="62">
        <f>IF(D21&lt;&gt;"",D21*E21,"")</f>
        <v/>
      </c>
      <c r="G21" s="62">
        <f>IF(D21&lt;&gt;"",D21*0.93,"")</f>
        <v/>
      </c>
      <c r="H21" s="62">
        <f>IF(D21&lt;&gt;"",D21*1.2,"")</f>
        <v/>
      </c>
      <c r="I21" s="60" t="n"/>
      <c r="J21" s="60" t="n"/>
      <c r="K21" s="60" t="n"/>
      <c r="L21" s="63">
        <f>IF(K21&lt;&gt;"",(K21-D21)*E21,"")</f>
        <v/>
      </c>
      <c r="M21" s="64">
        <f>IF(K21&lt;&gt;"",(K21-D21)/D21,"")</f>
        <v/>
      </c>
      <c r="N21" s="60" t="n"/>
    </row>
    <row r="22" ht="19.5" customHeight="1" s="72">
      <c r="A22" s="65" t="n"/>
      <c r="B22" s="66" t="n"/>
      <c r="C22" s="65" t="n"/>
      <c r="D22" s="65" t="n"/>
      <c r="E22" s="65" t="n"/>
      <c r="F22" s="67">
        <f>IF(D22&lt;&gt;"",D22*E22,"")</f>
        <v/>
      </c>
      <c r="G22" s="67">
        <f>IF(D22&lt;&gt;"",D22*0.93,"")</f>
        <v/>
      </c>
      <c r="H22" s="67">
        <f>IF(D22&lt;&gt;"",D22*1.2,"")</f>
        <v/>
      </c>
      <c r="I22" s="65" t="n"/>
      <c r="J22" s="65" t="n"/>
      <c r="K22" s="65" t="n"/>
      <c r="L22" s="68">
        <f>IF(K22&lt;&gt;"",(K22-D22)*E22,"")</f>
        <v/>
      </c>
      <c r="M22" s="69">
        <f>IF(K22&lt;&gt;"",(K22-D22)/D22,"")</f>
        <v/>
      </c>
      <c r="N22" s="65" t="n"/>
    </row>
    <row r="23" ht="19.5" customHeight="1" s="72">
      <c r="A23" s="60" t="n"/>
      <c r="B23" s="61" t="n"/>
      <c r="C23" s="60" t="n"/>
      <c r="D23" s="60" t="n"/>
      <c r="E23" s="60" t="n"/>
      <c r="F23" s="62">
        <f>IF(D23&lt;&gt;"",D23*E23,"")</f>
        <v/>
      </c>
      <c r="G23" s="62">
        <f>IF(D23&lt;&gt;"",D23*0.93,"")</f>
        <v/>
      </c>
      <c r="H23" s="62">
        <f>IF(D23&lt;&gt;"",D23*1.2,"")</f>
        <v/>
      </c>
      <c r="I23" s="60" t="n"/>
      <c r="J23" s="60" t="n"/>
      <c r="K23" s="60" t="n"/>
      <c r="L23" s="63">
        <f>IF(K23&lt;&gt;"",(K23-D23)*E23,"")</f>
        <v/>
      </c>
      <c r="M23" s="64">
        <f>IF(K23&lt;&gt;"",(K23-D23)/D23,"")</f>
        <v/>
      </c>
      <c r="N23" s="60" t="n"/>
    </row>
    <row r="24" ht="19.5" customHeight="1" s="72">
      <c r="A24" s="65" t="n"/>
      <c r="B24" s="66" t="n"/>
      <c r="C24" s="65" t="n"/>
      <c r="D24" s="65" t="n"/>
      <c r="E24" s="65" t="n"/>
      <c r="F24" s="67">
        <f>IF(D24&lt;&gt;"",D24*E24,"")</f>
        <v/>
      </c>
      <c r="G24" s="67">
        <f>IF(D24&lt;&gt;"",D24*0.93,"")</f>
        <v/>
      </c>
      <c r="H24" s="67">
        <f>IF(D24&lt;&gt;"",D24*1.2,"")</f>
        <v/>
      </c>
      <c r="I24" s="65" t="n"/>
      <c r="J24" s="65" t="n"/>
      <c r="K24" s="65" t="n"/>
      <c r="L24" s="68">
        <f>IF(K24&lt;&gt;"",(K24-D24)*E24,"")</f>
        <v/>
      </c>
      <c r="M24" s="69">
        <f>IF(K24&lt;&gt;"",(K24-D24)/D24,"")</f>
        <v/>
      </c>
      <c r="N24" s="65" t="n"/>
    </row>
    <row r="25" ht="15.75" customHeight="1" s="72"/>
    <row r="26" ht="9.75" customHeight="1" s="72"/>
    <row r="27" ht="24" customHeight="1" s="72">
      <c r="A27" s="109" t="inlineStr">
        <is>
          <t>TOTAL P&amp;L</t>
        </is>
      </c>
      <c r="G27" s="71">
        <f>SUM(L5:L25)</f>
        <v/>
      </c>
    </row>
    <row r="28" ht="15.75" customHeight="1" s="72"/>
    <row r="29" ht="15.75" customHeight="1" s="72"/>
    <row r="30" ht="15.75" customHeight="1" s="72"/>
    <row r="31" ht="15.75" customHeight="1" s="72"/>
    <row r="32" ht="15.75" customHeight="1" s="72"/>
    <row r="33" ht="15.75" customHeight="1" s="72"/>
    <row r="34" ht="15.75" customHeight="1" s="72"/>
    <row r="35" ht="15.75" customHeight="1" s="72"/>
    <row r="36" ht="15.75" customHeight="1" s="72"/>
    <row r="37" ht="15.75" customHeight="1" s="72"/>
    <row r="38" ht="15.75" customHeight="1" s="72"/>
    <row r="39" ht="15.75" customHeight="1" s="72"/>
    <row r="40" ht="15.75" customHeight="1" s="72"/>
    <row r="41" ht="15.75" customHeight="1" s="72"/>
    <row r="42" ht="15.75" customHeight="1" s="72"/>
    <row r="43" ht="15.75" customHeight="1" s="72"/>
    <row r="44" ht="15.75" customHeight="1" s="72"/>
    <row r="45" ht="15.75" customHeight="1" s="72"/>
    <row r="46" ht="15.75" customHeight="1" s="72"/>
    <row r="47" ht="15.75" customHeight="1" s="72"/>
    <row r="48" ht="15.75" customHeight="1" s="72"/>
    <row r="49" ht="15.75" customHeight="1" s="72"/>
    <row r="50" ht="15.75" customHeight="1" s="72"/>
    <row r="51" ht="15.75" customHeight="1" s="72"/>
    <row r="52" ht="15.75" customHeight="1" s="72"/>
    <row r="53" ht="15.75" customHeight="1" s="72"/>
    <row r="54" ht="15.75" customHeight="1" s="72"/>
    <row r="55" ht="15.75" customHeight="1" s="72"/>
    <row r="56" ht="15.75" customHeight="1" s="72"/>
    <row r="57" ht="15.75" customHeight="1" s="72"/>
    <row r="58" ht="15.75" customHeight="1" s="72"/>
    <row r="59" ht="15.75" customHeight="1" s="72"/>
    <row r="60" ht="15.75" customHeight="1" s="72"/>
    <row r="61" ht="15.75" customHeight="1" s="72"/>
    <row r="62" ht="15.75" customHeight="1" s="72"/>
    <row r="63" ht="15.75" customHeight="1" s="72"/>
    <row r="64" ht="15.75" customHeight="1" s="72"/>
    <row r="65" ht="15.75" customHeight="1" s="72"/>
    <row r="66" ht="15.75" customHeight="1" s="72"/>
    <row r="67" ht="15.75" customHeight="1" s="72"/>
    <row r="68" ht="15.75" customHeight="1" s="72"/>
    <row r="69" ht="15.75" customHeight="1" s="72"/>
    <row r="70" ht="15.75" customHeight="1" s="72"/>
    <row r="71" ht="15.75" customHeight="1" s="72"/>
    <row r="72" ht="15.75" customHeight="1" s="72"/>
    <row r="73" ht="15.75" customHeight="1" s="72"/>
    <row r="74" ht="15.75" customHeight="1" s="72"/>
    <row r="75" ht="15.75" customHeight="1" s="72"/>
    <row r="76" ht="15.75" customHeight="1" s="72"/>
    <row r="77" ht="15.75" customHeight="1" s="72"/>
    <row r="78" ht="15.75" customHeight="1" s="72"/>
    <row r="79" ht="15.75" customHeight="1" s="72"/>
    <row r="80" ht="15.75" customHeight="1" s="72"/>
    <row r="81" ht="15.75" customHeight="1" s="72"/>
    <row r="82" ht="15.75" customHeight="1" s="72"/>
    <row r="83" ht="15.75" customHeight="1" s="72"/>
    <row r="84" ht="15.75" customHeight="1" s="72"/>
    <row r="85" ht="15.75" customHeight="1" s="72"/>
    <row r="86" ht="15.75" customHeight="1" s="72"/>
    <row r="87" ht="15.75" customHeight="1" s="72"/>
    <row r="88" ht="15.75" customHeight="1" s="72"/>
    <row r="89" ht="15.75" customHeight="1" s="72"/>
    <row r="90" ht="15.75" customHeight="1" s="72"/>
    <row r="91" ht="15.75" customHeight="1" s="72"/>
    <row r="92" ht="15.75" customHeight="1" s="72"/>
    <row r="93" ht="15.75" customHeight="1" s="72"/>
    <row r="94" ht="15.75" customHeight="1" s="72"/>
    <row r="95" ht="15.75" customHeight="1" s="72"/>
    <row r="96" ht="15.75" customHeight="1" s="72"/>
    <row r="97" ht="15.75" customHeight="1" s="72"/>
    <row r="98" ht="15.75" customHeight="1" s="72"/>
    <row r="99" ht="15.75" customHeight="1" s="72"/>
    <row r="100" ht="15.75" customHeight="1" s="72"/>
    <row r="101" ht="15.75" customHeight="1" s="72"/>
    <row r="102" ht="15.75" customHeight="1" s="72"/>
    <row r="103" ht="15.75" customHeight="1" s="72"/>
    <row r="104" ht="15.75" customHeight="1" s="72"/>
    <row r="105" ht="15.75" customHeight="1" s="72"/>
    <row r="106" ht="15.75" customHeight="1" s="72"/>
    <row r="107" ht="15.75" customHeight="1" s="72"/>
    <row r="108" ht="15.75" customHeight="1" s="72"/>
    <row r="109" ht="15.75" customHeight="1" s="72"/>
    <row r="110" ht="15.75" customHeight="1" s="72"/>
    <row r="111" ht="15.75" customHeight="1" s="72"/>
    <row r="112" ht="15.75" customHeight="1" s="72"/>
    <row r="113" ht="15.75" customHeight="1" s="72"/>
    <row r="114" ht="15.75" customHeight="1" s="72"/>
    <row r="115" ht="15.75" customHeight="1" s="72"/>
    <row r="116" ht="15.75" customHeight="1" s="72"/>
    <row r="117" ht="15.75" customHeight="1" s="72"/>
    <row r="118" ht="15.75" customHeight="1" s="72"/>
    <row r="119" ht="15.75" customHeight="1" s="72"/>
    <row r="120" ht="15.75" customHeight="1" s="72"/>
    <row r="121" ht="15.75" customHeight="1" s="72"/>
    <row r="122" ht="15.75" customHeight="1" s="72"/>
    <row r="123" ht="15.75" customHeight="1" s="72"/>
    <row r="124" ht="15.75" customHeight="1" s="72"/>
    <row r="125" ht="15.75" customHeight="1" s="72"/>
    <row r="126" ht="15.75" customHeight="1" s="72"/>
    <row r="127" ht="15.75" customHeight="1" s="72"/>
    <row r="128" ht="15.75" customHeight="1" s="72"/>
    <row r="129" ht="15.75" customHeight="1" s="72"/>
    <row r="130" ht="15.75" customHeight="1" s="72"/>
    <row r="131" ht="15.75" customHeight="1" s="72"/>
    <row r="132" ht="15.75" customHeight="1" s="72"/>
    <row r="133" ht="15.75" customHeight="1" s="72"/>
    <row r="134" ht="15.75" customHeight="1" s="72"/>
    <row r="135" ht="15.75" customHeight="1" s="72"/>
    <row r="136" ht="15.75" customHeight="1" s="72"/>
    <row r="137" ht="15.75" customHeight="1" s="72"/>
    <row r="138" ht="15.75" customHeight="1" s="72"/>
    <row r="139" ht="15.75" customHeight="1" s="72"/>
    <row r="140" ht="15.75" customHeight="1" s="72"/>
    <row r="141" ht="15.75" customHeight="1" s="72"/>
    <row r="142" ht="15.75" customHeight="1" s="72"/>
    <row r="143" ht="15.75" customHeight="1" s="72"/>
    <row r="144" ht="15.75" customHeight="1" s="72"/>
    <row r="145" ht="15.75" customHeight="1" s="72"/>
    <row r="146" ht="15.75" customHeight="1" s="72"/>
    <row r="147" ht="15.75" customHeight="1" s="72"/>
    <row r="148" ht="15.75" customHeight="1" s="72"/>
    <row r="149" ht="15.75" customHeight="1" s="72"/>
    <row r="150" ht="15.75" customHeight="1" s="72"/>
    <row r="151" ht="15.75" customHeight="1" s="72"/>
    <row r="152" ht="15.75" customHeight="1" s="72"/>
    <row r="153" ht="15.75" customHeight="1" s="72"/>
    <row r="154" ht="15.75" customHeight="1" s="72"/>
    <row r="155" ht="15.75" customHeight="1" s="72"/>
    <row r="156" ht="15.75" customHeight="1" s="72"/>
    <row r="157" ht="15.75" customHeight="1" s="72"/>
    <row r="158" ht="15.75" customHeight="1" s="72"/>
    <row r="159" ht="15.75" customHeight="1" s="72"/>
    <row r="160" ht="15.75" customHeight="1" s="72"/>
    <row r="161" ht="15.75" customHeight="1" s="72"/>
    <row r="162" ht="15.75" customHeight="1" s="72"/>
    <row r="163" ht="15.75" customHeight="1" s="72"/>
    <row r="164" ht="15.75" customHeight="1" s="72"/>
    <row r="165" ht="15.75" customHeight="1" s="72"/>
    <row r="166" ht="15.75" customHeight="1" s="72"/>
    <row r="167" ht="15.75" customHeight="1" s="72"/>
    <row r="168" ht="15.75" customHeight="1" s="72"/>
    <row r="169" ht="15.75" customHeight="1" s="72"/>
    <row r="170" ht="15.75" customHeight="1" s="72"/>
    <row r="171" ht="15.75" customHeight="1" s="72"/>
    <row r="172" ht="15.75" customHeight="1" s="72"/>
    <row r="173" ht="15.75" customHeight="1" s="72"/>
    <row r="174" ht="15.75" customHeight="1" s="72"/>
    <row r="175" ht="15.75" customHeight="1" s="72"/>
    <row r="176" ht="15.75" customHeight="1" s="72"/>
    <row r="177" ht="15.75" customHeight="1" s="72"/>
    <row r="178" ht="15.75" customHeight="1" s="72"/>
    <row r="179" ht="15.75" customHeight="1" s="72"/>
    <row r="180" ht="15.75" customHeight="1" s="72"/>
    <row r="181" ht="15.75" customHeight="1" s="72"/>
    <row r="182" ht="15.75" customHeight="1" s="72"/>
    <row r="183" ht="15.75" customHeight="1" s="72"/>
    <row r="184" ht="15.75" customHeight="1" s="72"/>
    <row r="185" ht="15.75" customHeight="1" s="72"/>
    <row r="186" ht="15.75" customHeight="1" s="72"/>
    <row r="187" ht="15.75" customHeight="1" s="72"/>
    <row r="188" ht="15.75" customHeight="1" s="72"/>
    <row r="189" ht="15.75" customHeight="1" s="72"/>
    <row r="190" ht="15.75" customHeight="1" s="72"/>
    <row r="191" ht="15.75" customHeight="1" s="72"/>
    <row r="192" ht="15.75" customHeight="1" s="72"/>
    <row r="193" ht="15.75" customHeight="1" s="72"/>
    <row r="194" ht="15.75" customHeight="1" s="72"/>
    <row r="195" ht="15.75" customHeight="1" s="72"/>
    <row r="196" ht="15.75" customHeight="1" s="72"/>
    <row r="197" ht="15.75" customHeight="1" s="72"/>
    <row r="198" ht="15.75" customHeight="1" s="72"/>
    <row r="199" ht="15.75" customHeight="1" s="72"/>
    <row r="200" ht="15.75" customHeight="1" s="72"/>
    <row r="201" ht="15.75" customHeight="1" s="72"/>
    <row r="202" ht="15.75" customHeight="1" s="72"/>
    <row r="203" ht="15.75" customHeight="1" s="72"/>
    <row r="204" ht="15.75" customHeight="1" s="72"/>
    <row r="205" ht="15.75" customHeight="1" s="72"/>
    <row r="206" ht="15.75" customHeight="1" s="72"/>
    <row r="207" ht="15.75" customHeight="1" s="72"/>
    <row r="208" ht="15.75" customHeight="1" s="72"/>
    <row r="209" ht="15.75" customHeight="1" s="72"/>
    <row r="210" ht="15.75" customHeight="1" s="72"/>
    <row r="211" ht="15.75" customHeight="1" s="72"/>
    <row r="212" ht="15.75" customHeight="1" s="72"/>
    <row r="213" ht="15.75" customHeight="1" s="72"/>
    <row r="214" ht="15.75" customHeight="1" s="72"/>
    <row r="215" ht="15.75" customHeight="1" s="72"/>
    <row r="216" ht="15.75" customHeight="1" s="72"/>
    <row r="217" ht="15.75" customHeight="1" s="72"/>
    <row r="218" ht="15.75" customHeight="1" s="72"/>
    <row r="219" ht="15.75" customHeight="1" s="72"/>
    <row r="220" ht="15.75" customHeight="1" s="72"/>
    <row r="221" ht="15.75" customHeight="1" s="72"/>
    <row r="222" ht="15.75" customHeight="1" s="72"/>
    <row r="223" ht="15.75" customHeight="1" s="72"/>
    <row r="224" ht="15.75" customHeight="1" s="72"/>
    <row r="225" ht="15.75" customHeight="1" s="72"/>
    <row r="226" ht="15.75" customHeight="1" s="72"/>
    <row r="227" ht="15.75" customHeight="1" s="72"/>
    <row r="228" ht="15.75" customHeight="1" s="72"/>
    <row r="229" ht="15.75" customHeight="1" s="72"/>
    <row r="230" ht="15.75" customHeight="1" s="72"/>
    <row r="231" ht="15.75" customHeight="1" s="72"/>
    <row r="232" ht="15.75" customHeight="1" s="72"/>
    <row r="233" ht="15.75" customHeight="1" s="72"/>
    <row r="234" ht="15.75" customHeight="1" s="72"/>
    <row r="235" ht="15.75" customHeight="1" s="72"/>
    <row r="236" ht="15.75" customHeight="1" s="72"/>
    <row r="237" ht="15.75" customHeight="1" s="72"/>
    <row r="238" ht="15.75" customHeight="1" s="72"/>
    <row r="239" ht="15.75" customHeight="1" s="72"/>
    <row r="240" ht="15.75" customHeight="1" s="72"/>
    <row r="241" ht="15.75" customHeight="1" s="72"/>
    <row r="242" ht="15.75" customHeight="1" s="72"/>
    <row r="243" ht="15.75" customHeight="1" s="72"/>
    <row r="244" ht="15.75" customHeight="1" s="72"/>
    <row r="245" ht="15.75" customHeight="1" s="72"/>
    <row r="246" ht="15.75" customHeight="1" s="72"/>
    <row r="247" ht="15.75" customHeight="1" s="72"/>
    <row r="248" ht="15.75" customHeight="1" s="72"/>
    <row r="249" ht="15.75" customHeight="1" s="72"/>
    <row r="250" ht="15.75" customHeight="1" s="72"/>
    <row r="251" ht="15.75" customHeight="1" s="72"/>
    <row r="252" ht="15.75" customHeight="1" s="72"/>
    <row r="253" ht="15.75" customHeight="1" s="72"/>
    <row r="254" ht="15.75" customHeight="1" s="72"/>
    <row r="255" ht="15.75" customHeight="1" s="72"/>
    <row r="256" ht="15.75" customHeight="1" s="72"/>
    <row r="257" ht="15.75" customHeight="1" s="72"/>
    <row r="258" ht="15.75" customHeight="1" s="72"/>
    <row r="259" ht="15.75" customHeight="1" s="72"/>
    <row r="260" ht="15.75" customHeight="1" s="72"/>
    <row r="261" ht="15.75" customHeight="1" s="72"/>
    <row r="262" ht="15.75" customHeight="1" s="72"/>
    <row r="263" ht="15.75" customHeight="1" s="72"/>
    <row r="264" ht="15.75" customHeight="1" s="72"/>
    <row r="265" ht="15.75" customHeight="1" s="72"/>
    <row r="266" ht="15.75" customHeight="1" s="72"/>
    <row r="267" ht="15.75" customHeight="1" s="72"/>
    <row r="268" ht="15.75" customHeight="1" s="72"/>
    <row r="269" ht="15.75" customHeight="1" s="72"/>
    <row r="270" ht="15.75" customHeight="1" s="72"/>
    <row r="271" ht="15.75" customHeight="1" s="72"/>
    <row r="272" ht="15.75" customHeight="1" s="72"/>
    <row r="273" ht="15.75" customHeight="1" s="72"/>
    <row r="274" ht="15.75" customHeight="1" s="72"/>
    <row r="275" ht="15.75" customHeight="1" s="72"/>
    <row r="276" ht="15.75" customHeight="1" s="72"/>
    <row r="277" ht="15.75" customHeight="1" s="72"/>
    <row r="278" ht="15.75" customHeight="1" s="72"/>
    <row r="279" ht="15.75" customHeight="1" s="72"/>
    <row r="280" ht="15.75" customHeight="1" s="72"/>
    <row r="281" ht="15.75" customHeight="1" s="72"/>
    <row r="282" ht="15.75" customHeight="1" s="72"/>
    <row r="283" ht="15.75" customHeight="1" s="72"/>
    <row r="284" ht="15.75" customHeight="1" s="72"/>
    <row r="285" ht="15.75" customHeight="1" s="72"/>
    <row r="286" ht="15.75" customHeight="1" s="72"/>
    <row r="287" ht="15.75" customHeight="1" s="72"/>
    <row r="288" ht="15.75" customHeight="1" s="72"/>
    <row r="289" ht="15.75" customHeight="1" s="72"/>
    <row r="290" ht="15.75" customHeight="1" s="72"/>
    <row r="291" ht="15.75" customHeight="1" s="72"/>
    <row r="292" ht="15.75" customHeight="1" s="72"/>
    <row r="293" ht="15.75" customHeight="1" s="72"/>
    <row r="294" ht="15.75" customHeight="1" s="72"/>
    <row r="295" ht="15.75" customHeight="1" s="72"/>
    <row r="296" ht="15.75" customHeight="1" s="72"/>
    <row r="297" ht="15.75" customHeight="1" s="72"/>
    <row r="298" ht="15.75" customHeight="1" s="72"/>
    <row r="299" ht="15.75" customHeight="1" s="72"/>
    <row r="300" ht="15.75" customHeight="1" s="72"/>
    <row r="301" ht="15.75" customHeight="1" s="72"/>
    <row r="302" ht="15.75" customHeight="1" s="72"/>
    <row r="303" ht="15.75" customHeight="1" s="72"/>
    <row r="304" ht="15.75" customHeight="1" s="72"/>
    <row r="305" ht="15.75" customHeight="1" s="72"/>
    <row r="306" ht="15.75" customHeight="1" s="72"/>
    <row r="307" ht="15.75" customHeight="1" s="72"/>
    <row r="308" ht="15.75" customHeight="1" s="72"/>
    <row r="309" ht="15.75" customHeight="1" s="72"/>
    <row r="310" ht="15.75" customHeight="1" s="72"/>
    <row r="311" ht="15.75" customHeight="1" s="72"/>
    <row r="312" ht="15.75" customHeight="1" s="72"/>
    <row r="313" ht="15.75" customHeight="1" s="72"/>
    <row r="314" ht="15.75" customHeight="1" s="72"/>
    <row r="315" ht="15.75" customHeight="1" s="72"/>
    <row r="316" ht="15.75" customHeight="1" s="72"/>
    <row r="317" ht="15.75" customHeight="1" s="72"/>
    <row r="318" ht="15.75" customHeight="1" s="72"/>
    <row r="319" ht="15.75" customHeight="1" s="72"/>
    <row r="320" ht="15.75" customHeight="1" s="72"/>
    <row r="321" ht="15.75" customHeight="1" s="72"/>
    <row r="322" ht="15.75" customHeight="1" s="72"/>
    <row r="323" ht="15.75" customHeight="1" s="72"/>
    <row r="324" ht="15.75" customHeight="1" s="72"/>
    <row r="325" ht="15.75" customHeight="1" s="72"/>
    <row r="326" ht="15.75" customHeight="1" s="72"/>
    <row r="327" ht="15.75" customHeight="1" s="72"/>
    <row r="328" ht="15.75" customHeight="1" s="72"/>
    <row r="329" ht="15.75" customHeight="1" s="72"/>
    <row r="330" ht="15.75" customHeight="1" s="72"/>
    <row r="331" ht="15.75" customHeight="1" s="72"/>
    <row r="332" ht="15.75" customHeight="1" s="72"/>
    <row r="333" ht="15.75" customHeight="1" s="72"/>
    <row r="334" ht="15.75" customHeight="1" s="72"/>
    <row r="335" ht="15.75" customHeight="1" s="72"/>
    <row r="336" ht="15.75" customHeight="1" s="72"/>
    <row r="337" ht="15.75" customHeight="1" s="72"/>
    <row r="338" ht="15.75" customHeight="1" s="72"/>
    <row r="339" ht="15.75" customHeight="1" s="72"/>
    <row r="340" ht="15.75" customHeight="1" s="72"/>
    <row r="341" ht="15.75" customHeight="1" s="72"/>
    <row r="342" ht="15.75" customHeight="1" s="72"/>
    <row r="343" ht="15.75" customHeight="1" s="72"/>
    <row r="344" ht="15.75" customHeight="1" s="72"/>
    <row r="345" ht="15.75" customHeight="1" s="72"/>
    <row r="346" ht="15.75" customHeight="1" s="72"/>
    <row r="347" ht="15.75" customHeight="1" s="72"/>
    <row r="348" ht="15.75" customHeight="1" s="72"/>
    <row r="349" ht="15.75" customHeight="1" s="72"/>
    <row r="350" ht="15.75" customHeight="1" s="72"/>
    <row r="351" ht="15.75" customHeight="1" s="72"/>
    <row r="352" ht="15.75" customHeight="1" s="72"/>
    <row r="353" ht="15.75" customHeight="1" s="72"/>
    <row r="354" ht="15.75" customHeight="1" s="72"/>
    <row r="355" ht="15.75" customHeight="1" s="72"/>
    <row r="356" ht="15.75" customHeight="1" s="72"/>
    <row r="357" ht="15.75" customHeight="1" s="72"/>
    <row r="358" ht="15.75" customHeight="1" s="72"/>
    <row r="359" ht="15.75" customHeight="1" s="72"/>
    <row r="360" ht="15.75" customHeight="1" s="72"/>
    <row r="361" ht="15.75" customHeight="1" s="72"/>
    <row r="362" ht="15.75" customHeight="1" s="72"/>
    <row r="363" ht="15.75" customHeight="1" s="72"/>
    <row r="364" ht="15.75" customHeight="1" s="72"/>
    <row r="365" ht="15.75" customHeight="1" s="72"/>
    <row r="366" ht="15.75" customHeight="1" s="72"/>
    <row r="367" ht="15.75" customHeight="1" s="72"/>
    <row r="368" ht="15.75" customHeight="1" s="72"/>
    <row r="369" ht="15.75" customHeight="1" s="72"/>
    <row r="370" ht="15.75" customHeight="1" s="72"/>
    <row r="371" ht="15.75" customHeight="1" s="72"/>
    <row r="372" ht="15.75" customHeight="1" s="72"/>
    <row r="373" ht="15.75" customHeight="1" s="72"/>
    <row r="374" ht="15.75" customHeight="1" s="72"/>
    <row r="375" ht="15.75" customHeight="1" s="72"/>
    <row r="376" ht="15.75" customHeight="1" s="72"/>
    <row r="377" ht="15.75" customHeight="1" s="72"/>
    <row r="378" ht="15.75" customHeight="1" s="72"/>
    <row r="379" ht="15.75" customHeight="1" s="72"/>
    <row r="380" ht="15.75" customHeight="1" s="72"/>
    <row r="381" ht="15.75" customHeight="1" s="72"/>
    <row r="382" ht="15.75" customHeight="1" s="72"/>
    <row r="383" ht="15.75" customHeight="1" s="72"/>
    <row r="384" ht="15.75" customHeight="1" s="72"/>
    <row r="385" ht="15.75" customHeight="1" s="72"/>
    <row r="386" ht="15.75" customHeight="1" s="72"/>
    <row r="387" ht="15.75" customHeight="1" s="72"/>
    <row r="388" ht="15.75" customHeight="1" s="72"/>
    <row r="389" ht="15.75" customHeight="1" s="72"/>
    <row r="390" ht="15.75" customHeight="1" s="72"/>
    <row r="391" ht="15.75" customHeight="1" s="72"/>
    <row r="392" ht="15.75" customHeight="1" s="72"/>
    <row r="393" ht="15.75" customHeight="1" s="72"/>
    <row r="394" ht="15.75" customHeight="1" s="72"/>
    <row r="395" ht="15.75" customHeight="1" s="72"/>
    <row r="396" ht="15.75" customHeight="1" s="72"/>
    <row r="397" ht="15.75" customHeight="1" s="72"/>
    <row r="398" ht="15.75" customHeight="1" s="72"/>
    <row r="399" ht="15.75" customHeight="1" s="72"/>
    <row r="400" ht="15.75" customHeight="1" s="72"/>
    <row r="401" ht="15.75" customHeight="1" s="72"/>
    <row r="402" ht="15.75" customHeight="1" s="72"/>
    <row r="403" ht="15.75" customHeight="1" s="72"/>
    <row r="404" ht="15.75" customHeight="1" s="72"/>
    <row r="405" ht="15.75" customHeight="1" s="72"/>
    <row r="406" ht="15.75" customHeight="1" s="72"/>
    <row r="407" ht="15.75" customHeight="1" s="72"/>
    <row r="408" ht="15.75" customHeight="1" s="72"/>
    <row r="409" ht="15.75" customHeight="1" s="72"/>
    <row r="410" ht="15.75" customHeight="1" s="72"/>
    <row r="411" ht="15.75" customHeight="1" s="72"/>
    <row r="412" ht="15.75" customHeight="1" s="72"/>
    <row r="413" ht="15.75" customHeight="1" s="72"/>
    <row r="414" ht="15.75" customHeight="1" s="72"/>
    <row r="415" ht="15.75" customHeight="1" s="72"/>
    <row r="416" ht="15.75" customHeight="1" s="72"/>
    <row r="417" ht="15.75" customHeight="1" s="72"/>
    <row r="418" ht="15.75" customHeight="1" s="72"/>
    <row r="419" ht="15.75" customHeight="1" s="72"/>
    <row r="420" ht="15.75" customHeight="1" s="72"/>
    <row r="421" ht="15.75" customHeight="1" s="72"/>
    <row r="422" ht="15.75" customHeight="1" s="72"/>
    <row r="423" ht="15.75" customHeight="1" s="72"/>
    <row r="424" ht="15.75" customHeight="1" s="72"/>
    <row r="425" ht="15.75" customHeight="1" s="72"/>
    <row r="426" ht="15.75" customHeight="1" s="72"/>
    <row r="427" ht="15.75" customHeight="1" s="72"/>
    <row r="428" ht="15.75" customHeight="1" s="72"/>
    <row r="429" ht="15.75" customHeight="1" s="72"/>
    <row r="430" ht="15.75" customHeight="1" s="72"/>
    <row r="431" ht="15.75" customHeight="1" s="72"/>
    <row r="432" ht="15.75" customHeight="1" s="72"/>
    <row r="433" ht="15.75" customHeight="1" s="72"/>
    <row r="434" ht="15.75" customHeight="1" s="72"/>
    <row r="435" ht="15.75" customHeight="1" s="72"/>
    <row r="436" ht="15.75" customHeight="1" s="72"/>
    <row r="437" ht="15.75" customHeight="1" s="72"/>
    <row r="438" ht="15.75" customHeight="1" s="72"/>
    <row r="439" ht="15.75" customHeight="1" s="72"/>
    <row r="440" ht="15.75" customHeight="1" s="72"/>
    <row r="441" ht="15.75" customHeight="1" s="72"/>
    <row r="442" ht="15.75" customHeight="1" s="72"/>
    <row r="443" ht="15.75" customHeight="1" s="72"/>
    <row r="444" ht="15.75" customHeight="1" s="72"/>
    <row r="445" ht="15.75" customHeight="1" s="72"/>
    <row r="446" ht="15.75" customHeight="1" s="72"/>
    <row r="447" ht="15.75" customHeight="1" s="72"/>
    <row r="448" ht="15.75" customHeight="1" s="72"/>
    <row r="449" ht="15.75" customHeight="1" s="72"/>
    <row r="450" ht="15.75" customHeight="1" s="72"/>
    <row r="451" ht="15.75" customHeight="1" s="72"/>
    <row r="452" ht="15.75" customHeight="1" s="72"/>
    <row r="453" ht="15.75" customHeight="1" s="72"/>
    <row r="454" ht="15.75" customHeight="1" s="72"/>
    <row r="455" ht="15.75" customHeight="1" s="72"/>
    <row r="456" ht="15.75" customHeight="1" s="72"/>
    <row r="457" ht="15.75" customHeight="1" s="72"/>
    <row r="458" ht="15.75" customHeight="1" s="72"/>
    <row r="459" ht="15.75" customHeight="1" s="72"/>
    <row r="460" ht="15.75" customHeight="1" s="72"/>
    <row r="461" ht="15.75" customHeight="1" s="72"/>
    <row r="462" ht="15.75" customHeight="1" s="72"/>
    <row r="463" ht="15.75" customHeight="1" s="72"/>
    <row r="464" ht="15.75" customHeight="1" s="72"/>
    <row r="465" ht="15.75" customHeight="1" s="72"/>
    <row r="466" ht="15.75" customHeight="1" s="72"/>
    <row r="467" ht="15.75" customHeight="1" s="72"/>
    <row r="468" ht="15.75" customHeight="1" s="72"/>
    <row r="469" ht="15.75" customHeight="1" s="72"/>
    <row r="470" ht="15.75" customHeight="1" s="72"/>
    <row r="471" ht="15.75" customHeight="1" s="72"/>
    <row r="472" ht="15.75" customHeight="1" s="72"/>
    <row r="473" ht="15.75" customHeight="1" s="72"/>
    <row r="474" ht="15.75" customHeight="1" s="72"/>
    <row r="475" ht="15.75" customHeight="1" s="72"/>
    <row r="476" ht="15.75" customHeight="1" s="72"/>
    <row r="477" ht="15.75" customHeight="1" s="72"/>
    <row r="478" ht="15.75" customHeight="1" s="72"/>
    <row r="479" ht="15.75" customHeight="1" s="72"/>
    <row r="480" ht="15.75" customHeight="1" s="72"/>
    <row r="481" ht="15.75" customHeight="1" s="72"/>
    <row r="482" ht="15.75" customHeight="1" s="72"/>
    <row r="483" ht="15.75" customHeight="1" s="72"/>
    <row r="484" ht="15.75" customHeight="1" s="72"/>
    <row r="485" ht="15.75" customHeight="1" s="72"/>
    <row r="486" ht="15.75" customHeight="1" s="72"/>
    <row r="487" ht="15.75" customHeight="1" s="72"/>
    <row r="488" ht="15.75" customHeight="1" s="72"/>
    <row r="489" ht="15.75" customHeight="1" s="72"/>
    <row r="490" ht="15.75" customHeight="1" s="72"/>
    <row r="491" ht="15.75" customHeight="1" s="72"/>
    <row r="492" ht="15.75" customHeight="1" s="72"/>
    <row r="493" ht="15.75" customHeight="1" s="72"/>
    <row r="494" ht="15.75" customHeight="1" s="72"/>
    <row r="495" ht="15.75" customHeight="1" s="72"/>
    <row r="496" ht="15.75" customHeight="1" s="72"/>
    <row r="497" ht="15.75" customHeight="1" s="72"/>
    <row r="498" ht="15.75" customHeight="1" s="72"/>
    <row r="499" ht="15.75" customHeight="1" s="72"/>
    <row r="500" ht="15.75" customHeight="1" s="72"/>
    <row r="501" ht="15.75" customHeight="1" s="72"/>
    <row r="502" ht="15.75" customHeight="1" s="72"/>
    <row r="503" ht="15.75" customHeight="1" s="72"/>
    <row r="504" ht="15.75" customHeight="1" s="72"/>
    <row r="505" ht="15.75" customHeight="1" s="72"/>
    <row r="506" ht="15.75" customHeight="1" s="72"/>
    <row r="507" ht="15.75" customHeight="1" s="72"/>
    <row r="508" ht="15.75" customHeight="1" s="72"/>
    <row r="509" ht="15.75" customHeight="1" s="72"/>
    <row r="510" ht="15.75" customHeight="1" s="72"/>
    <row r="511" ht="15.75" customHeight="1" s="72"/>
    <row r="512" ht="15.75" customHeight="1" s="72"/>
    <row r="513" ht="15.75" customHeight="1" s="72"/>
    <row r="514" ht="15.75" customHeight="1" s="72"/>
    <row r="515" ht="15.75" customHeight="1" s="72"/>
    <row r="516" ht="15.75" customHeight="1" s="72"/>
    <row r="517" ht="15.75" customHeight="1" s="72"/>
    <row r="518" ht="15.75" customHeight="1" s="72"/>
    <row r="519" ht="15.75" customHeight="1" s="72"/>
    <row r="520" ht="15.75" customHeight="1" s="72"/>
    <row r="521" ht="15.75" customHeight="1" s="72"/>
    <row r="522" ht="15.75" customHeight="1" s="72"/>
    <row r="523" ht="15.75" customHeight="1" s="72"/>
    <row r="524" ht="15.75" customHeight="1" s="72"/>
    <row r="525" ht="15.75" customHeight="1" s="72"/>
    <row r="526" ht="15.75" customHeight="1" s="72"/>
    <row r="527" ht="15.75" customHeight="1" s="72"/>
    <row r="528" ht="15.75" customHeight="1" s="72"/>
    <row r="529" ht="15.75" customHeight="1" s="72"/>
    <row r="530" ht="15.75" customHeight="1" s="72"/>
    <row r="531" ht="15.75" customHeight="1" s="72"/>
    <row r="532" ht="15.75" customHeight="1" s="72"/>
    <row r="533" ht="15.75" customHeight="1" s="72"/>
    <row r="534" ht="15.75" customHeight="1" s="72"/>
    <row r="535" ht="15.75" customHeight="1" s="72"/>
    <row r="536" ht="15.75" customHeight="1" s="72"/>
    <row r="537" ht="15.75" customHeight="1" s="72"/>
    <row r="538" ht="15.75" customHeight="1" s="72"/>
    <row r="539" ht="15.75" customHeight="1" s="72"/>
    <row r="540" ht="15.75" customHeight="1" s="72"/>
    <row r="541" ht="15.75" customHeight="1" s="72"/>
    <row r="542" ht="15.75" customHeight="1" s="72"/>
    <row r="543" ht="15.75" customHeight="1" s="72"/>
    <row r="544" ht="15.75" customHeight="1" s="72"/>
    <row r="545" ht="15.75" customHeight="1" s="72"/>
    <row r="546" ht="15.75" customHeight="1" s="72"/>
    <row r="547" ht="15.75" customHeight="1" s="72"/>
    <row r="548" ht="15.75" customHeight="1" s="72"/>
    <row r="549" ht="15.75" customHeight="1" s="72"/>
    <row r="550" ht="15.75" customHeight="1" s="72"/>
    <row r="551" ht="15.75" customHeight="1" s="72"/>
    <row r="552" ht="15.75" customHeight="1" s="72"/>
    <row r="553" ht="15.75" customHeight="1" s="72"/>
    <row r="554" ht="15.75" customHeight="1" s="72"/>
    <row r="555" ht="15.75" customHeight="1" s="72"/>
    <row r="556" ht="15.75" customHeight="1" s="72"/>
    <row r="557" ht="15.75" customHeight="1" s="72"/>
    <row r="558" ht="15.75" customHeight="1" s="72"/>
    <row r="559" ht="15.75" customHeight="1" s="72"/>
    <row r="560" ht="15.75" customHeight="1" s="72"/>
    <row r="561" ht="15.75" customHeight="1" s="72"/>
    <row r="562" ht="15.75" customHeight="1" s="72"/>
    <row r="563" ht="15.75" customHeight="1" s="72"/>
    <row r="564" ht="15.75" customHeight="1" s="72"/>
    <row r="565" ht="15.75" customHeight="1" s="72"/>
    <row r="566" ht="15.75" customHeight="1" s="72"/>
    <row r="567" ht="15.75" customHeight="1" s="72"/>
    <row r="568" ht="15.75" customHeight="1" s="72"/>
    <row r="569" ht="15.75" customHeight="1" s="72"/>
    <row r="570" ht="15.75" customHeight="1" s="72"/>
    <row r="571" ht="15.75" customHeight="1" s="72"/>
    <row r="572" ht="15.75" customHeight="1" s="72"/>
    <row r="573" ht="15.75" customHeight="1" s="72"/>
    <row r="574" ht="15.75" customHeight="1" s="72"/>
    <row r="575" ht="15.75" customHeight="1" s="72"/>
    <row r="576" ht="15.75" customHeight="1" s="72"/>
    <row r="577" ht="15.75" customHeight="1" s="72"/>
    <row r="578" ht="15.75" customHeight="1" s="72"/>
    <row r="579" ht="15.75" customHeight="1" s="72"/>
    <row r="580" ht="15.75" customHeight="1" s="72"/>
    <row r="581" ht="15.75" customHeight="1" s="72"/>
    <row r="582" ht="15.75" customHeight="1" s="72"/>
    <row r="583" ht="15.75" customHeight="1" s="72"/>
    <row r="584" ht="15.75" customHeight="1" s="72"/>
    <row r="585" ht="15.75" customHeight="1" s="72"/>
    <row r="586" ht="15.75" customHeight="1" s="72"/>
    <row r="587" ht="15.75" customHeight="1" s="72"/>
    <row r="588" ht="15.75" customHeight="1" s="72"/>
    <row r="589" ht="15.75" customHeight="1" s="72"/>
    <row r="590" ht="15.75" customHeight="1" s="72"/>
    <row r="591" ht="15.75" customHeight="1" s="72"/>
    <row r="592" ht="15.75" customHeight="1" s="72"/>
    <row r="593" ht="15.75" customHeight="1" s="72"/>
    <row r="594" ht="15.75" customHeight="1" s="72"/>
    <row r="595" ht="15.75" customHeight="1" s="72"/>
    <row r="596" ht="15.75" customHeight="1" s="72"/>
    <row r="597" ht="15.75" customHeight="1" s="72"/>
    <row r="598" ht="15.75" customHeight="1" s="72"/>
    <row r="599" ht="15.75" customHeight="1" s="72"/>
    <row r="600" ht="15.75" customHeight="1" s="72"/>
    <row r="601" ht="15.75" customHeight="1" s="72"/>
    <row r="602" ht="15.75" customHeight="1" s="72"/>
    <row r="603" ht="15.75" customHeight="1" s="72"/>
    <row r="604" ht="15.75" customHeight="1" s="72"/>
    <row r="605" ht="15.75" customHeight="1" s="72"/>
    <row r="606" ht="15.75" customHeight="1" s="72"/>
    <row r="607" ht="15.75" customHeight="1" s="72"/>
    <row r="608" ht="15.75" customHeight="1" s="72"/>
    <row r="609" ht="15.75" customHeight="1" s="72"/>
    <row r="610" ht="15.75" customHeight="1" s="72"/>
    <row r="611" ht="15.75" customHeight="1" s="72"/>
    <row r="612" ht="15.75" customHeight="1" s="72"/>
    <row r="613" ht="15.75" customHeight="1" s="72"/>
    <row r="614" ht="15.75" customHeight="1" s="72"/>
    <row r="615" ht="15.75" customHeight="1" s="72"/>
    <row r="616" ht="15.75" customHeight="1" s="72"/>
    <row r="617" ht="15.75" customHeight="1" s="72"/>
    <row r="618" ht="15.75" customHeight="1" s="72"/>
    <row r="619" ht="15.75" customHeight="1" s="72"/>
    <row r="620" ht="15.75" customHeight="1" s="72"/>
    <row r="621" ht="15.75" customHeight="1" s="72"/>
    <row r="622" ht="15.75" customHeight="1" s="72"/>
    <row r="623" ht="15.75" customHeight="1" s="72"/>
    <row r="624" ht="15.75" customHeight="1" s="72"/>
    <row r="625" ht="15.75" customHeight="1" s="72"/>
    <row r="626" ht="15.75" customHeight="1" s="72"/>
    <row r="627" ht="15.75" customHeight="1" s="72"/>
    <row r="628" ht="15.75" customHeight="1" s="72"/>
    <row r="629" ht="15.75" customHeight="1" s="72"/>
    <row r="630" ht="15.75" customHeight="1" s="72"/>
    <row r="631" ht="15.75" customHeight="1" s="72"/>
    <row r="632" ht="15.75" customHeight="1" s="72"/>
    <row r="633" ht="15.75" customHeight="1" s="72"/>
    <row r="634" ht="15.75" customHeight="1" s="72"/>
    <row r="635" ht="15.75" customHeight="1" s="72"/>
    <row r="636" ht="15.75" customHeight="1" s="72"/>
    <row r="637" ht="15.75" customHeight="1" s="72"/>
    <row r="638" ht="15.75" customHeight="1" s="72"/>
    <row r="639" ht="15.75" customHeight="1" s="72"/>
    <row r="640" ht="15.75" customHeight="1" s="72"/>
    <row r="641" ht="15.75" customHeight="1" s="72"/>
    <row r="642" ht="15.75" customHeight="1" s="72"/>
    <row r="643" ht="15.75" customHeight="1" s="72"/>
    <row r="644" ht="15.75" customHeight="1" s="72"/>
    <row r="645" ht="15.75" customHeight="1" s="72"/>
    <row r="646" ht="15.75" customHeight="1" s="72"/>
    <row r="647" ht="15.75" customHeight="1" s="72"/>
    <row r="648" ht="15.75" customHeight="1" s="72"/>
    <row r="649" ht="15.75" customHeight="1" s="72"/>
    <row r="650" ht="15.75" customHeight="1" s="72"/>
    <row r="651" ht="15.75" customHeight="1" s="72"/>
    <row r="652" ht="15.75" customHeight="1" s="72"/>
    <row r="653" ht="15.75" customHeight="1" s="72"/>
    <row r="654" ht="15.75" customHeight="1" s="72"/>
    <row r="655" ht="15.75" customHeight="1" s="72"/>
    <row r="656" ht="15.75" customHeight="1" s="72"/>
    <row r="657" ht="15.75" customHeight="1" s="72"/>
    <row r="658" ht="15.75" customHeight="1" s="72"/>
    <row r="659" ht="15.75" customHeight="1" s="72"/>
    <row r="660" ht="15.75" customHeight="1" s="72"/>
    <row r="661" ht="15.75" customHeight="1" s="72"/>
    <row r="662" ht="15.75" customHeight="1" s="72"/>
    <row r="663" ht="15.75" customHeight="1" s="72"/>
    <row r="664" ht="15.75" customHeight="1" s="72"/>
    <row r="665" ht="15.75" customHeight="1" s="72"/>
    <row r="666" ht="15.75" customHeight="1" s="72"/>
    <row r="667" ht="15.75" customHeight="1" s="72"/>
    <row r="668" ht="15.75" customHeight="1" s="72"/>
    <row r="669" ht="15.75" customHeight="1" s="72"/>
    <row r="670" ht="15.75" customHeight="1" s="72"/>
    <row r="671" ht="15.75" customHeight="1" s="72"/>
    <row r="672" ht="15.75" customHeight="1" s="72"/>
    <row r="673" ht="15.75" customHeight="1" s="72"/>
    <row r="674" ht="15.75" customHeight="1" s="72"/>
    <row r="675" ht="15.75" customHeight="1" s="72"/>
    <row r="676" ht="15.75" customHeight="1" s="72"/>
    <row r="677" ht="15.75" customHeight="1" s="72"/>
    <row r="678" ht="15.75" customHeight="1" s="72"/>
    <row r="679" ht="15.75" customHeight="1" s="72"/>
    <row r="680" ht="15.75" customHeight="1" s="72"/>
    <row r="681" ht="15.75" customHeight="1" s="72"/>
    <row r="682" ht="15.75" customHeight="1" s="72"/>
    <row r="683" ht="15.75" customHeight="1" s="72"/>
    <row r="684" ht="15.75" customHeight="1" s="72"/>
    <row r="685" ht="15.75" customHeight="1" s="72"/>
    <row r="686" ht="15.75" customHeight="1" s="72"/>
    <row r="687" ht="15.75" customHeight="1" s="72"/>
    <row r="688" ht="15.75" customHeight="1" s="72"/>
    <row r="689" ht="15.75" customHeight="1" s="72"/>
    <row r="690" ht="15.75" customHeight="1" s="72"/>
    <row r="691" ht="15.75" customHeight="1" s="72"/>
    <row r="692" ht="15.75" customHeight="1" s="72"/>
    <row r="693" ht="15.75" customHeight="1" s="72"/>
    <row r="694" ht="15.75" customHeight="1" s="72"/>
    <row r="695" ht="15.75" customHeight="1" s="72"/>
    <row r="696" ht="15.75" customHeight="1" s="72"/>
    <row r="697" ht="15.75" customHeight="1" s="72"/>
    <row r="698" ht="15.75" customHeight="1" s="72"/>
    <row r="699" ht="15.75" customHeight="1" s="72"/>
    <row r="700" ht="15.75" customHeight="1" s="72"/>
    <row r="701" ht="15.75" customHeight="1" s="72"/>
    <row r="702" ht="15.75" customHeight="1" s="72"/>
    <row r="703" ht="15.75" customHeight="1" s="72"/>
    <row r="704" ht="15.75" customHeight="1" s="72"/>
    <row r="705" ht="15.75" customHeight="1" s="72"/>
    <row r="706" ht="15.75" customHeight="1" s="72"/>
    <row r="707" ht="15.75" customHeight="1" s="72"/>
    <row r="708" ht="15.75" customHeight="1" s="72"/>
    <row r="709" ht="15.75" customHeight="1" s="72"/>
    <row r="710" ht="15.75" customHeight="1" s="72"/>
    <row r="711" ht="15.75" customHeight="1" s="72"/>
    <row r="712" ht="15.75" customHeight="1" s="72"/>
    <row r="713" ht="15.75" customHeight="1" s="72"/>
    <row r="714" ht="15.75" customHeight="1" s="72"/>
    <row r="715" ht="15.75" customHeight="1" s="72"/>
    <row r="716" ht="15.75" customHeight="1" s="72"/>
    <row r="717" ht="15.75" customHeight="1" s="72"/>
    <row r="718" ht="15.75" customHeight="1" s="72"/>
    <row r="719" ht="15.75" customHeight="1" s="72"/>
    <row r="720" ht="15.75" customHeight="1" s="72"/>
    <row r="721" ht="15.75" customHeight="1" s="72"/>
    <row r="722" ht="15.75" customHeight="1" s="72"/>
    <row r="723" ht="15.75" customHeight="1" s="72"/>
    <row r="724" ht="15.75" customHeight="1" s="72"/>
    <row r="725" ht="15.75" customHeight="1" s="72"/>
    <row r="726" ht="15.75" customHeight="1" s="72"/>
    <row r="727" ht="15.75" customHeight="1" s="72"/>
    <row r="728" ht="15.75" customHeight="1" s="72"/>
    <row r="729" ht="15.75" customHeight="1" s="72"/>
    <row r="730" ht="15.75" customHeight="1" s="72"/>
    <row r="731" ht="15.75" customHeight="1" s="72"/>
    <row r="732" ht="15.75" customHeight="1" s="72"/>
    <row r="733" ht="15.75" customHeight="1" s="72"/>
    <row r="734" ht="15.75" customHeight="1" s="72"/>
    <row r="735" ht="15.75" customHeight="1" s="72"/>
    <row r="736" ht="15.75" customHeight="1" s="72"/>
    <row r="737" ht="15.75" customHeight="1" s="72"/>
    <row r="738" ht="15.75" customHeight="1" s="72"/>
    <row r="739" ht="15.75" customHeight="1" s="72"/>
    <row r="740" ht="15.75" customHeight="1" s="72"/>
    <row r="741" ht="15.75" customHeight="1" s="72"/>
    <row r="742" ht="15.75" customHeight="1" s="72"/>
    <row r="743" ht="15.75" customHeight="1" s="72"/>
    <row r="744" ht="15.75" customHeight="1" s="72"/>
    <row r="745" ht="15.75" customHeight="1" s="72"/>
    <row r="746" ht="15.75" customHeight="1" s="72"/>
    <row r="747" ht="15.75" customHeight="1" s="72"/>
    <row r="748" ht="15.75" customHeight="1" s="72"/>
    <row r="749" ht="15.75" customHeight="1" s="72"/>
    <row r="750" ht="15.75" customHeight="1" s="72"/>
    <row r="751" ht="15.75" customHeight="1" s="72"/>
    <row r="752" ht="15.75" customHeight="1" s="72"/>
    <row r="753" ht="15.75" customHeight="1" s="72"/>
    <row r="754" ht="15.75" customHeight="1" s="72"/>
    <row r="755" ht="15.75" customHeight="1" s="72"/>
    <row r="756" ht="15.75" customHeight="1" s="72"/>
    <row r="757" ht="15.75" customHeight="1" s="72"/>
    <row r="758" ht="15.75" customHeight="1" s="72"/>
    <row r="759" ht="15.75" customHeight="1" s="72"/>
    <row r="760" ht="15.75" customHeight="1" s="72"/>
    <row r="761" ht="15.75" customHeight="1" s="72"/>
    <row r="762" ht="15.75" customHeight="1" s="72"/>
    <row r="763" ht="15.75" customHeight="1" s="72"/>
    <row r="764" ht="15.75" customHeight="1" s="72"/>
    <row r="765" ht="15.75" customHeight="1" s="72"/>
    <row r="766" ht="15.75" customHeight="1" s="72"/>
    <row r="767" ht="15.75" customHeight="1" s="72"/>
    <row r="768" ht="15.75" customHeight="1" s="72"/>
    <row r="769" ht="15.75" customHeight="1" s="72"/>
    <row r="770" ht="15.75" customHeight="1" s="72"/>
    <row r="771" ht="15.75" customHeight="1" s="72"/>
    <row r="772" ht="15.75" customHeight="1" s="72"/>
    <row r="773" ht="15.75" customHeight="1" s="72"/>
    <row r="774" ht="15.75" customHeight="1" s="72"/>
    <row r="775" ht="15.75" customHeight="1" s="72"/>
    <row r="776" ht="15.75" customHeight="1" s="72"/>
    <row r="777" ht="15.75" customHeight="1" s="72"/>
    <row r="778" ht="15.75" customHeight="1" s="72"/>
    <row r="779" ht="15.75" customHeight="1" s="72"/>
    <row r="780" ht="15.75" customHeight="1" s="72"/>
    <row r="781" ht="15.75" customHeight="1" s="72"/>
    <row r="782" ht="15.75" customHeight="1" s="72"/>
    <row r="783" ht="15.75" customHeight="1" s="72"/>
    <row r="784" ht="15.75" customHeight="1" s="72"/>
    <row r="785" ht="15.75" customHeight="1" s="72"/>
    <row r="786" ht="15.75" customHeight="1" s="72"/>
    <row r="787" ht="15.75" customHeight="1" s="72"/>
    <row r="788" ht="15.75" customHeight="1" s="72"/>
    <row r="789" ht="15.75" customHeight="1" s="72"/>
    <row r="790" ht="15.75" customHeight="1" s="72"/>
    <row r="791" ht="15.75" customHeight="1" s="72"/>
    <row r="792" ht="15.75" customHeight="1" s="72"/>
    <row r="793" ht="15.75" customHeight="1" s="72"/>
    <row r="794" ht="15.75" customHeight="1" s="72"/>
    <row r="795" ht="15.75" customHeight="1" s="72"/>
    <row r="796" ht="15.75" customHeight="1" s="72"/>
    <row r="797" ht="15.75" customHeight="1" s="72"/>
    <row r="798" ht="15.75" customHeight="1" s="72"/>
    <row r="799" ht="15.75" customHeight="1" s="72"/>
    <row r="800" ht="15.75" customHeight="1" s="72"/>
    <row r="801" ht="15.75" customHeight="1" s="72"/>
    <row r="802" ht="15.75" customHeight="1" s="72"/>
    <row r="803" ht="15.75" customHeight="1" s="72"/>
    <row r="804" ht="15.75" customHeight="1" s="72"/>
    <row r="805" ht="15.75" customHeight="1" s="72"/>
    <row r="806" ht="15.75" customHeight="1" s="72"/>
    <row r="807" ht="15.75" customHeight="1" s="72"/>
    <row r="808" ht="15.75" customHeight="1" s="72"/>
    <row r="809" ht="15.75" customHeight="1" s="72"/>
    <row r="810" ht="15.75" customHeight="1" s="72"/>
    <row r="811" ht="15.75" customHeight="1" s="72"/>
    <row r="812" ht="15.75" customHeight="1" s="72"/>
    <row r="813" ht="15.75" customHeight="1" s="72"/>
    <row r="814" ht="15.75" customHeight="1" s="72"/>
    <row r="815" ht="15.75" customHeight="1" s="72"/>
    <row r="816" ht="15.75" customHeight="1" s="72"/>
    <row r="817" ht="15.75" customHeight="1" s="72"/>
    <row r="818" ht="15.75" customHeight="1" s="72"/>
    <row r="819" ht="15.75" customHeight="1" s="72"/>
    <row r="820" ht="15.75" customHeight="1" s="72"/>
    <row r="821" ht="15.75" customHeight="1" s="72"/>
    <row r="822" ht="15.75" customHeight="1" s="72"/>
    <row r="823" ht="15.75" customHeight="1" s="72"/>
    <row r="824" ht="15.75" customHeight="1" s="72"/>
    <row r="825" ht="15.75" customHeight="1" s="72"/>
    <row r="826" ht="15.75" customHeight="1" s="72"/>
    <row r="827" ht="15.75" customHeight="1" s="72"/>
    <row r="828" ht="15.75" customHeight="1" s="72"/>
    <row r="829" ht="15.75" customHeight="1" s="72"/>
    <row r="830" ht="15.75" customHeight="1" s="72"/>
    <row r="831" ht="15.75" customHeight="1" s="72"/>
    <row r="832" ht="15.75" customHeight="1" s="72"/>
    <row r="833" ht="15.75" customHeight="1" s="72"/>
    <row r="834" ht="15.75" customHeight="1" s="72"/>
    <row r="835" ht="15.75" customHeight="1" s="72"/>
    <row r="836" ht="15.75" customHeight="1" s="72"/>
    <row r="837" ht="15.75" customHeight="1" s="72"/>
    <row r="838" ht="15.75" customHeight="1" s="72"/>
    <row r="839" ht="15.75" customHeight="1" s="72"/>
    <row r="840" ht="15.75" customHeight="1" s="72"/>
    <row r="841" ht="15.75" customHeight="1" s="72"/>
    <row r="842" ht="15.75" customHeight="1" s="72"/>
    <row r="843" ht="15.75" customHeight="1" s="72"/>
    <row r="844" ht="15.75" customHeight="1" s="72"/>
    <row r="845" ht="15.75" customHeight="1" s="72"/>
    <row r="846" ht="15.75" customHeight="1" s="72"/>
    <row r="847" ht="15.75" customHeight="1" s="72"/>
    <row r="848" ht="15.75" customHeight="1" s="72"/>
    <row r="849" ht="15.75" customHeight="1" s="72"/>
    <row r="850" ht="15.75" customHeight="1" s="72"/>
    <row r="851" ht="15.75" customHeight="1" s="72"/>
    <row r="852" ht="15.75" customHeight="1" s="72"/>
    <row r="853" ht="15.75" customHeight="1" s="72"/>
    <row r="854" ht="15.75" customHeight="1" s="72"/>
    <row r="855" ht="15.75" customHeight="1" s="72"/>
    <row r="856" ht="15.75" customHeight="1" s="72"/>
    <row r="857" ht="15.75" customHeight="1" s="72"/>
    <row r="858" ht="15.75" customHeight="1" s="72"/>
    <row r="859" ht="15.75" customHeight="1" s="72"/>
    <row r="860" ht="15.75" customHeight="1" s="72"/>
    <row r="861" ht="15.75" customHeight="1" s="72"/>
    <row r="862" ht="15.75" customHeight="1" s="72"/>
    <row r="863" ht="15.75" customHeight="1" s="72"/>
    <row r="864" ht="15.75" customHeight="1" s="72"/>
    <row r="865" ht="15.75" customHeight="1" s="72"/>
    <row r="866" ht="15.75" customHeight="1" s="72"/>
    <row r="867" ht="15.75" customHeight="1" s="72"/>
    <row r="868" ht="15.75" customHeight="1" s="72"/>
    <row r="869" ht="15.75" customHeight="1" s="72"/>
    <row r="870" ht="15.75" customHeight="1" s="72"/>
    <row r="871" ht="15.75" customHeight="1" s="72"/>
    <row r="872" ht="15.75" customHeight="1" s="72"/>
    <row r="873" ht="15.75" customHeight="1" s="72"/>
    <row r="874" ht="15.75" customHeight="1" s="72"/>
    <row r="875" ht="15.75" customHeight="1" s="72"/>
    <row r="876" ht="15.75" customHeight="1" s="72"/>
    <row r="877" ht="15.75" customHeight="1" s="72"/>
    <row r="878" ht="15.75" customHeight="1" s="72"/>
    <row r="879" ht="15.75" customHeight="1" s="72"/>
    <row r="880" ht="15.75" customHeight="1" s="72"/>
    <row r="881" ht="15.75" customHeight="1" s="72"/>
    <row r="882" ht="15.75" customHeight="1" s="72"/>
    <row r="883" ht="15.75" customHeight="1" s="72"/>
    <row r="884" ht="15.75" customHeight="1" s="72"/>
    <row r="885" ht="15.75" customHeight="1" s="72"/>
    <row r="886" ht="15.75" customHeight="1" s="72"/>
    <row r="887" ht="15.75" customHeight="1" s="72"/>
    <row r="888" ht="15.75" customHeight="1" s="72"/>
    <row r="889" ht="15.75" customHeight="1" s="72"/>
    <row r="890" ht="15.75" customHeight="1" s="72"/>
    <row r="891" ht="15.75" customHeight="1" s="72"/>
    <row r="892" ht="15.75" customHeight="1" s="72"/>
    <row r="893" ht="15.75" customHeight="1" s="72"/>
    <row r="894" ht="15.75" customHeight="1" s="72"/>
    <row r="895" ht="15.75" customHeight="1" s="72"/>
    <row r="896" ht="15.75" customHeight="1" s="72"/>
    <row r="897" ht="15.75" customHeight="1" s="72"/>
    <row r="898" ht="15.75" customHeight="1" s="72"/>
    <row r="899" ht="15.75" customHeight="1" s="72"/>
    <row r="900" ht="15.75" customHeight="1" s="72"/>
    <row r="901" ht="15.75" customHeight="1" s="72"/>
    <row r="902" ht="15.75" customHeight="1" s="72"/>
    <row r="903" ht="15.75" customHeight="1" s="72"/>
    <row r="904" ht="15.75" customHeight="1" s="72"/>
    <row r="905" ht="15.75" customHeight="1" s="72"/>
    <row r="906" ht="15.75" customHeight="1" s="72"/>
    <row r="907" ht="15.75" customHeight="1" s="72"/>
    <row r="908" ht="15.75" customHeight="1" s="72"/>
    <row r="909" ht="15.75" customHeight="1" s="72"/>
    <row r="910" ht="15.75" customHeight="1" s="72"/>
    <row r="911" ht="15.75" customHeight="1" s="72"/>
    <row r="912" ht="15.75" customHeight="1" s="72"/>
    <row r="913" ht="15.75" customHeight="1" s="72"/>
    <row r="914" ht="15.75" customHeight="1" s="72"/>
    <row r="915" ht="15.75" customHeight="1" s="72"/>
    <row r="916" ht="15.75" customHeight="1" s="72"/>
    <row r="917" ht="15.75" customHeight="1" s="72"/>
    <row r="918" ht="15.75" customHeight="1" s="72"/>
    <row r="919" ht="15.75" customHeight="1" s="72"/>
    <row r="920" ht="15.75" customHeight="1" s="72"/>
    <row r="921" ht="15.75" customHeight="1" s="72"/>
    <row r="922" ht="15.75" customHeight="1" s="72"/>
    <row r="923" ht="15.75" customHeight="1" s="72"/>
    <row r="924" ht="15.75" customHeight="1" s="72"/>
    <row r="925" ht="15.75" customHeight="1" s="72"/>
    <row r="926" ht="15.75" customHeight="1" s="72"/>
    <row r="927" ht="15.75" customHeight="1" s="72"/>
    <row r="928" ht="15.75" customHeight="1" s="72"/>
    <row r="929" ht="15.75" customHeight="1" s="72"/>
    <row r="930" ht="15.75" customHeight="1" s="72"/>
    <row r="931" ht="15.75" customHeight="1" s="72"/>
    <row r="932" ht="15.75" customHeight="1" s="72"/>
    <row r="933" ht="15.75" customHeight="1" s="72"/>
    <row r="934" ht="15.75" customHeight="1" s="72"/>
    <row r="935" ht="15.75" customHeight="1" s="72"/>
    <row r="936" ht="15.75" customHeight="1" s="72"/>
    <row r="937" ht="15.75" customHeight="1" s="72"/>
    <row r="938" ht="15.75" customHeight="1" s="72"/>
    <row r="939" ht="15.75" customHeight="1" s="72"/>
    <row r="940" ht="15.75" customHeight="1" s="72"/>
    <row r="941" ht="15.75" customHeight="1" s="72"/>
    <row r="942" ht="15.75" customHeight="1" s="72"/>
    <row r="943" ht="15.75" customHeight="1" s="72"/>
    <row r="944" ht="15.75" customHeight="1" s="72"/>
    <row r="945" ht="15.75" customHeight="1" s="72"/>
    <row r="946" ht="15.75" customHeight="1" s="72"/>
    <row r="947" ht="15.75" customHeight="1" s="72"/>
    <row r="948" ht="15.75" customHeight="1" s="72"/>
    <row r="949" ht="15.75" customHeight="1" s="72"/>
    <row r="950" ht="15.75" customHeight="1" s="72"/>
    <row r="951" ht="15.75" customHeight="1" s="72"/>
    <row r="952" ht="15.75" customHeight="1" s="72"/>
    <row r="953" ht="15.75" customHeight="1" s="72"/>
    <row r="954" ht="15.75" customHeight="1" s="72"/>
    <row r="955" ht="15.75" customHeight="1" s="72"/>
    <row r="956" ht="15.75" customHeight="1" s="72"/>
    <row r="957" ht="15.75" customHeight="1" s="72"/>
    <row r="958" ht="15.75" customHeight="1" s="72"/>
    <row r="959" ht="15.75" customHeight="1" s="72"/>
    <row r="960" ht="15.75" customHeight="1" s="72"/>
    <row r="961" ht="15.75" customHeight="1" s="72"/>
    <row r="962" ht="15.75" customHeight="1" s="72"/>
    <row r="963" ht="15.75" customHeight="1" s="72"/>
    <row r="964" ht="15.75" customHeight="1" s="72"/>
    <row r="965" ht="15.75" customHeight="1" s="72"/>
    <row r="966" ht="15.75" customHeight="1" s="72"/>
    <row r="967" ht="15.75" customHeight="1" s="72"/>
    <row r="968" ht="15.75" customHeight="1" s="72"/>
    <row r="969" ht="15.75" customHeight="1" s="72"/>
    <row r="970" ht="15.75" customHeight="1" s="72"/>
    <row r="971" ht="15.75" customHeight="1" s="72"/>
    <row r="972" ht="15.75" customHeight="1" s="72"/>
    <row r="973" ht="15.75" customHeight="1" s="72"/>
    <row r="974" ht="15.75" customHeight="1" s="72"/>
    <row r="975" ht="15.75" customHeight="1" s="72"/>
    <row r="976" ht="15.75" customHeight="1" s="72"/>
    <row r="977" ht="15.75" customHeight="1" s="72"/>
    <row r="978" ht="15.75" customHeight="1" s="72"/>
    <row r="979" ht="15.75" customHeight="1" s="72"/>
    <row r="980" ht="15.75" customHeight="1" s="72"/>
    <row r="981" ht="15.75" customHeight="1" s="72"/>
    <row r="982" ht="15.75" customHeight="1" s="72"/>
    <row r="983" ht="15.75" customHeight="1" s="72"/>
    <row r="984" ht="15.75" customHeight="1" s="72"/>
    <row r="985" ht="15.75" customHeight="1" s="72"/>
    <row r="986" ht="15.75" customHeight="1" s="72"/>
    <row r="987" ht="15.75" customHeight="1" s="72"/>
    <row r="988" ht="15.75" customHeight="1" s="72"/>
    <row r="989" ht="15.75" customHeight="1" s="72"/>
    <row r="990" ht="15.75" customHeight="1" s="72"/>
    <row r="991" ht="15.75" customHeight="1" s="72"/>
    <row r="992" ht="15.75" customHeight="1" s="72"/>
    <row r="993" ht="15.75" customHeight="1" s="72"/>
    <row r="994" ht="15.75" customHeight="1" s="72"/>
    <row r="995" ht="15.75" customHeight="1" s="72"/>
    <row r="996" ht="15.75" customHeight="1" s="72"/>
    <row r="997" ht="15.75" customHeight="1" s="72"/>
    <row r="998" ht="15.75" customHeight="1" s="72"/>
    <row r="999" ht="15.75" customHeight="1" s="72"/>
    <row r="1000" ht="15.75" customHeight="1" s="72"/>
  </sheetData>
  <mergeCells count="3">
    <mergeCell ref="A3:N3"/>
    <mergeCell ref="A2:N2"/>
    <mergeCell ref="A27:F27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2026-05-30T01:29:22Z</dcterms:created>
  <dcterms:modified xmlns:dcterms="http://purl.org/dc/terms/" xmlns:xsi="http://www.w3.org/2001/XMLSchema-instance" xsi:type="dcterms:W3CDTF">2026-06-01T18:48:42Z</dcterms:modified>
</cp:coreProperties>
</file>